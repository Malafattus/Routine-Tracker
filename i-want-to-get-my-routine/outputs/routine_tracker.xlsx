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4a7f2e469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824f98f8bc04080"/>
    <x:sheet xmlns:r="http://schemas.openxmlformats.org/officeDocument/2006/relationships" name="Weekly Planner" sheetId="2" r:id="Rc4afa5093a294c03"/>
    <x:sheet xmlns:r="http://schemas.openxmlformats.org/officeDocument/2006/relationships" name="Daily Log" sheetId="3" r:id="R31b25c1ad7484b54"/>
    <x:sheet xmlns:r="http://schemas.openxmlformats.org/officeDocument/2006/relationships" name="Workout Plan" sheetId="4" r:id="Rf3bdd59cac90423c"/>
    <x:sheet xmlns:r="http://schemas.openxmlformats.org/officeDocument/2006/relationships" name="Meal Prep" sheetId="5" r:id="R64a72acc39414cf1"/>
    <x:sheet xmlns:r="http://schemas.openxmlformats.org/officeDocument/2006/relationships" name="Cleaning" sheetId="6" r:id="R6537ee663c0b44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d, mmm d"/>
  </x:numFmts>
  <x:fonts count="4">
    <x:font>
      <x:sz val="11"/>
      <x:name val="Carlito"/>
    </x:font>
    <x:font>
      <x:b/>
      <x:sz val="14"/>
      <x:color rgb="FFFFFFFF"/>
      <x:name val="Aptos Display"/>
    </x:font>
    <x:font>
      <x:b/>
      <x:sz val="11"/>
      <x:color rgb="FF243443"/>
      <x:name val="Aptos"/>
    </x:font>
    <x:font>
      <x:sz val="10"/>
      <x:color rgb="FF24344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EED9"/>
      </x:patternFill>
    </x:fill>
    <x:fill>
      <x:patternFill patternType="solid">
        <x:fgColor rgb="FFFFFFFF"/>
      </x:patternFill>
    </x:fill>
    <x:fill>
      <x:patternFill patternType="solid">
        <x:fgColor rgb="FFDDEFD8"/>
      </x:patternFill>
    </x:fill>
    <x:fill>
      <x:patternFill patternType="solid">
        <x:fgColor rgb="FFEEF2F5"/>
      </x:patternFill>
    </x:fill>
    <x:fill>
      <x:patternFill patternType="solid">
        <x:fgColor rgb="FFF7D9D9"/>
      </x:patternFill>
    </x:fill>
    <x:fill>
      <x:patternFill patternType="solid">
        <x:fgColor rgb="FFCFE8F7"/>
      </x:patternFill>
    </x:fill>
  </x:fills>
  <x:borders count="15">
    <x:border/>
    <x:border>
      <x:left style="thin">
        <x:color rgb="FFD4DCE3"/>
      </x:left>
      <x:top style="thin">
        <x:color rgb="FFD4DCE3"/>
      </x:top>
      <x:bottom style="thin">
        <x:color rgb="FFD4DCE3"/>
      </x:bottom>
    </x:border>
    <x:border>
      <x:right style="thin">
        <x:color rgb="FFD4DCE3"/>
      </x:right>
      <x:top style="thin">
        <x:color rgb="FFD4DCE3"/>
      </x:top>
      <x:bottom style="thin">
        <x:color rgb="FFD4DCE3"/>
      </x:bottom>
    </x:border>
    <x:border>
      <x:left style="thin">
        <x:color rgb="FFD4DCE3"/>
      </x:left>
      <x:top style="thin">
        <x:color rgb="FFD4DCE3"/>
      </x:top>
    </x:border>
    <x:border>
      <x:right style="thin">
        <x:color rgb="FFD4DCE3"/>
      </x:right>
      <x:top style="thin">
        <x:color rgb="FFD4DCE3"/>
      </x:top>
    </x:border>
    <x:border>
      <x:left style="thin">
        <x:color rgb="FFD4DCE3"/>
      </x:left>
    </x:border>
    <x:border>
      <x:right style="thin">
        <x:color rgb="FFD4DCE3"/>
      </x:right>
    </x:border>
    <x:border>
      <x:left style="thin">
        <x:color rgb="FFD4DCE3"/>
      </x:left>
      <x:bottom style="thin">
        <x:color rgb="FFD4DCE3"/>
      </x:bottom>
    </x:border>
    <x:border>
      <x:right style="thin">
        <x:color rgb="FFD4DCE3"/>
      </x:right>
      <x:bottom style="thin">
        <x:color rgb="FFD4DCE3"/>
      </x:bottom>
    </x:border>
    <x:border>
      <x:top style="thin">
        <x:color rgb="FFD4DCE3"/>
      </x:top>
      <x:bottom style="thin">
        <x:color rgb="FFD4DCE3"/>
      </x:bottom>
    </x:border>
    <x:border>
      <x:left style="thin">
        <x:color rgb="FFD4DCE3"/>
      </x:left>
      <x:right style="thin">
        <x:color rgb="FFD4DCE3"/>
      </x:right>
      <x:top style="thin">
        <x:color rgb="FFD4DCE3"/>
      </x:top>
    </x:border>
    <x:border>
      <x:left style="thin">
        <x:color rgb="FFD4DCE3"/>
      </x:left>
      <x:right style="thin">
        <x:color rgb="FFD4DCE3"/>
      </x:right>
    </x:border>
    <x:border>
      <x:left style="thin">
        <x:color rgb="FFD4DCE3"/>
      </x:left>
      <x:right style="thin">
        <x:color rgb="FFD4DCE3"/>
      </x:right>
      <x:bottom style="thin">
        <x:color rgb="FFD4DCE3"/>
      </x:bottom>
    </x:border>
    <x:border>
      <x:top style="thin">
        <x:color rgb="FFD4DCE3"/>
      </x:top>
    </x:border>
    <x:border>
      <x:bottom style="thin">
        <x:color rgb="FFD4DCE3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9" xfId="0" applyNumberFormat="1" applyFont="1" applyFill="1" applyBorder="1"/>
    <x:xf numFmtId="0" fontId="2" fillId="5" borderId="2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9" xfId="0" applyNumberFormat="1" applyFont="1" applyFill="1" applyBorder="1" applyAlignment="1">
      <x:alignment horizontal="center" wrapText="1"/>
    </x:xf>
    <x:xf numFmtId="0" fontId="2" fillId="5" borderId="2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9" xfId="0" applyNumberFormat="1" applyFont="1" applyFill="1" applyBorder="1"/>
    <x:xf numFmtId="0" fontId="2" fillId="6" borderId="2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9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9" xfId="0" applyNumberFormat="1" applyFont="1" applyFill="1" applyBorder="1" applyAlignment="1">
      <x:alignment horizontal="center" wrapText="1"/>
    </x:xf>
    <x:xf numFmtId="0" fontId="2" fillId="6" borderId="2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2" fillId="6" borderId="9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200" fontId="3" fillId="4" borderId="9" xfId="0" applyNumberFormat="1" applyFont="1" applyFill="1" applyBorder="1" applyAlignment="1">
      <x:alignment vertical="center" wrapText="1"/>
    </x:xf>
    <x:xf numFmtId="200" fontId="3" fillId="4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9" xfId="0" applyNumberFormat="1" applyFont="1" applyFill="1" applyBorder="1"/>
    <x:xf numFmtId="0" fontId="2" fillId="7" borderId="2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9" xfId="0" applyNumberFormat="1" applyFont="1" applyFill="1" applyBorder="1" applyAlignment="1">
      <x:alignment horizontal="center" wrapText="1"/>
    </x:xf>
    <x:xf numFmtId="0" fontId="2" fillId="7" borderId="2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7" borderId="9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2" fillId="8" borderId="2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2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200" fontId="3" fillId="4" borderId="4" xfId="0" applyNumberFormat="1" applyFont="1" applyFill="1" applyBorder="1" applyAlignment="1">
      <x:alignment vertical="center" wrapText="1"/>
    </x:xf>
    <x:xf numFmtId="200" fontId="3" fillId="4" borderId="6" xfId="0" applyNumberFormat="1" applyFont="1" applyFill="1" applyBorder="1" applyAlignment="1">
      <x:alignment vertical="center" wrapText="1"/>
    </x:xf>
    <x:xf numFmtId="200" fontId="3" fillId="4" borderId="8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/>
    <x:xf numFmtId="0" fontId="2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horizontal="center" wrapText="1"/>
    </x:xf>
    <x:xf numFmtId="0" fontId="2" fillId="8" borderId="9" xfId="0" applyNumberFormat="1" applyFont="1" applyFill="1" applyBorder="1" applyAlignment="1">
      <x:alignment horizontal="center" vertical="center" wrapText="1"/>
    </x:xf>
    <x:xf numFmtId="0" fontId="2" fillId="6" borderId="10" xfId="0" applyNumberFormat="1" applyFont="1" applyFill="1" applyBorder="1"/>
    <x:xf numFmtId="0" fontId="2" fillId="6" borderId="11" xfId="0" applyNumberFormat="1" applyFont="1" applyFill="1" applyBorder="1"/>
    <x:xf numFmtId="0" fontId="2" fillId="6" borderId="12" xfId="0" applyNumberFormat="1" applyFont="1" applyFill="1" applyBorder="1"/>
    <x:xf numFmtId="0" fontId="2" fillId="6" borderId="10" xfId="0" applyNumberFormat="1" applyFont="1" applyFill="1" applyBorder="1" applyAlignment="1">
      <x:alignment wrapText="1"/>
    </x:xf>
    <x:xf numFmtId="0" fontId="2" fillId="6" borderId="11" xfId="0" applyNumberFormat="1" applyFont="1" applyFill="1" applyBorder="1" applyAlignment="1">
      <x:alignment wrapText="1"/>
    </x:xf>
    <x:xf numFmtId="0" fontId="2" fillId="6" borderId="12" xfId="0" applyNumberFormat="1" applyFont="1" applyFill="1" applyBorder="1" applyAlignment="1">
      <x:alignment wrapText="1"/>
    </x:xf>
    <x:xf numFmtId="0" fontId="2" fillId="6" borderId="10" xfId="0" applyNumberFormat="1" applyFont="1" applyFill="1" applyBorder="1" applyAlignment="1">
      <x:alignment horizontal="center" wrapText="1"/>
    </x:xf>
    <x:xf numFmtId="0" fontId="2" fillId="6" borderId="11" xfId="0" applyNumberFormat="1" applyFont="1" applyFill="1" applyBorder="1" applyAlignment="1">
      <x:alignment horizontal="center" wrapText="1"/>
    </x:xf>
    <x:xf numFmtId="0" fontId="2" fillId="6" borderId="12" xfId="0" applyNumberFormat="1" applyFont="1" applyFill="1" applyBorder="1" applyAlignment="1">
      <x:alignment horizontal="center" wrapText="1"/>
    </x:xf>
    <x:xf numFmtId="0" fontId="2" fillId="6" borderId="10" xfId="0" applyNumberFormat="1" applyFont="1" applyFill="1" applyBorder="1" applyAlignment="1">
      <x:alignment horizontal="center" vertical="center" wrapText="1"/>
    </x:xf>
    <x:xf numFmtId="0" fontId="2" fillId="6" borderId="11" xfId="0" applyNumberFormat="1" applyFont="1" applyFill="1" applyBorder="1" applyAlignment="1">
      <x:alignment horizontal="center" vertical="center" wrapText="1"/>
    </x:xf>
    <x:xf numFmtId="0" fontId="2" fillId="6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3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201" fontId="3" fillId="4" borderId="3" xfId="0" applyNumberFormat="1" applyFont="1" applyFill="1" applyBorder="1" applyAlignment="1">
      <x:alignment vertical="center" wrapText="1"/>
    </x:xf>
    <x:xf numFmtId="201" fontId="3" fillId="4" borderId="5" xfId="0" applyNumberFormat="1" applyFont="1" applyFill="1" applyBorder="1" applyAlignment="1">
      <x:alignment vertical="center" wrapText="1"/>
    </x:xf>
    <x:xf numFmtId="201" fontId="3" fillId="4" borderId="7" xfId="0" applyNumberFormat="1" applyFont="1" applyFill="1" applyBorder="1" applyAlignment="1">
      <x:alignment vertical="center" wrapText="1"/>
    </x:xf>
    <x:xf numFmtId="200" fontId="3" fillId="4" borderId="13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200" fontId="3" fillId="4" borderId="14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/>
    <x:xf numFmtId="0" fontId="2" fillId="3" borderId="9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/>
    <x:xf numFmtId="0" fontId="2" fillId="5" borderId="13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7" xfId="0" applyNumberFormat="1" applyFont="1" applyFill="1" applyBorder="1"/>
    <x:xf numFmtId="0" fontId="2" fillId="5" borderId="14" xfId="0" applyNumberFormat="1" applyFont="1" applyFill="1" applyBorder="1"/>
    <x:xf numFmtId="0" fontId="2" fillId="5" borderId="8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wrapText="1"/>
    </x:xf>
    <x:xf numFmtId="0" fontId="2" fillId="5" borderId="14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horizontal="center" wrapText="1"/>
    </x:xf>
    <x:xf numFmtId="0" fontId="2" fillId="5" borderId="13" xfId="0" applyNumberFormat="1" applyFont="1" applyFill="1" applyBorder="1" applyAlignment="1">
      <x:alignment horizontal="center" wrapText="1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horizontal="center" wrapText="1"/>
    </x:xf>
    <x:xf numFmtId="0" fontId="2" fillId="5" borderId="14" xfId="0" applyNumberFormat="1" applyFont="1" applyFill="1" applyBorder="1" applyAlignment="1">
      <x:alignment horizontal="center" wrapText="1"/>
    </x:xf>
    <x:xf numFmtId="0" fontId="2" fillId="5" borderId="8" xfId="0" applyNumberFormat="1" applyFont="1" applyFill="1" applyBorder="1" applyAlignment="1">
      <x:alignment horizont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2" fillId="5" borderId="13" xfId="0" applyNumberFormat="1" applyFont="1" applyFill="1" applyBorder="1" applyAlignment="1">
      <x:alignment horizontal="center" vertic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14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40a990c394033" /><Relationship Type="http://schemas.openxmlformats.org/officeDocument/2006/relationships/theme" Target="/xl/theme/theme1.xml" Id="Re344c99cea184094" /><Relationship Type="http://schemas.openxmlformats.org/officeDocument/2006/relationships/sharedStrings" Target="/xl/sharedStrings.xml" Id="R2f935b5450924249" /><Relationship Type="http://schemas.openxmlformats.org/officeDocument/2006/relationships/worksheet" Target="/xl/worksheets/sheet1.xml" Id="Rf824f98f8bc04080" /><Relationship Type="http://schemas.openxmlformats.org/officeDocument/2006/relationships/worksheet" Target="/xl/worksheets/sheet2.xml" Id="Rc4afa5093a294c03" /><Relationship Type="http://schemas.openxmlformats.org/officeDocument/2006/relationships/worksheet" Target="/xl/worksheets/sheet3.xml" Id="R31b25c1ad7484b54" /><Relationship Type="http://schemas.openxmlformats.org/officeDocument/2006/relationships/worksheet" Target="/xl/worksheets/sheet4.xml" Id="Rf3bdd59cac90423c" /><Relationship Type="http://schemas.openxmlformats.org/officeDocument/2006/relationships/worksheet" Target="/xl/worksheets/sheet5.xml" Id="R64a72acc39414cf1" /><Relationship Type="http://schemas.openxmlformats.org/officeDocument/2006/relationships/worksheet" Target="/xl/worksheets/sheet6.xml" Id="R6537ee663c0b44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9364b79431149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Weekly consistency score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Avg Score</c:v>
          </c:tx>
          <c:cat>
            <c:strLit>
              <c:ptCount val="17"/>
              <c:pt idx="0">
                <c:v>=</c:v>
              </c:pt>
              <c:pt idx="1">
                <c:v>D</c:v>
              </c:pt>
              <c:pt idx="2">
                <c:v>a</c:v>
              </c:pt>
              <c:pt idx="3">
                <c:v>s</c:v>
              </c:pt>
              <c:pt idx="4">
                <c:v>h</c:v>
              </c:pt>
              <c:pt idx="5">
                <c:v>b</c:v>
              </c:pt>
              <c:pt idx="6">
                <c:v>o</c:v>
              </c:pt>
              <c:pt idx="7">
                <c:v>a</c:v>
              </c:pt>
              <c:pt idx="8">
                <c:v>r</c:v>
              </c:pt>
              <c:pt idx="9">
                <c:v>d</c:v>
              </c:pt>
              <c:pt idx="10">
                <c:v>!</c:v>
              </c:pt>
              <c:pt idx="11">
                <c:v>J</c:v>
              </c:pt>
              <c:pt idx="12">
                <c:v>3</c:v>
              </c:pt>
              <c:pt idx="13">
                <c:v>:</c:v>
              </c:pt>
              <c:pt idx="14">
                <c:v>J</c:v>
              </c:pt>
              <c:pt idx="15">
                <c:v>1</c:v>
              </c:pt>
              <c:pt idx="16">
                <c:v>0</c:v>
              </c:pt>
            </c:strLit>
          </c:cat>
          <c:val>
            <c:numLit>
              <c:formatCode>General</c:formatCode>
              <c:ptCount val="17"/>
              <c:pt idx="0">
                <c:v>NaN</c:v>
              </c:pt>
              <c:pt idx="1">
                <c:v>NaN</c:v>
              </c:pt>
              <c:pt idx="2">
                <c:v>NaN</c:v>
              </c:pt>
              <c:pt idx="3">
                <c:v>NaN</c:v>
              </c:pt>
              <c:pt idx="4">
                <c:v>NaN</c:v>
              </c:pt>
              <c:pt idx="5">
                <c:v>NaN</c:v>
              </c:pt>
              <c:pt idx="6">
                <c:v>NaN</c:v>
              </c:pt>
              <c:pt idx="7">
                <c:v>NaN</c:v>
              </c:pt>
              <c:pt idx="8">
                <c:v>NaN</c:v>
              </c:pt>
              <c:pt idx="9">
                <c:v>NaN</c:v>
              </c:pt>
              <c:pt idx="10">
                <c:v>NaN</c:v>
              </c:pt>
              <c:pt idx="11">
                <c:v>NaN</c:v>
              </c:pt>
              <c:pt idx="12">
                <c:v>3</c:v>
              </c:pt>
              <c:pt idx="13">
                <c:v>NaN</c:v>
              </c:pt>
              <c:pt idx="14">
                <c:v>NaN</c:v>
              </c:pt>
              <c:pt idx="15">
                <c:v>1</c:v>
              </c:pt>
              <c:pt idx="16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10</xdr:row>
      <xdr:rowOff>0</xdr:rowOff>
    </xdr:from>
    <xdr:ext cx="49530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364b794311494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5283cc85624f1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1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16" hidden="0" customWidth="1"/>
    <x:col min="11" max="11" width="16" hidden="0" customWidth="1"/>
  </x:cols>
  <x:sheetData>
    <x:row r="1">
      <x:c r="A1" s="3" t="str">
        <x:v>Routine Tracker: workouts, meals, cleaning, and lifestyle in one place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  <x:c r="J2" s="96" t="str">
        <x:v>Week</x:v>
      </x:c>
      <x:c r="K2" s="97" t="str">
        <x:v>Avg Score</x:v>
      </x:c>
    </x:row>
    <x:row r="3">
      <x:c r="J3" s="28" t="str">
        <x:v>Week 1</x:v>
      </x:c>
      <x:c r="K3" s="98" t="n">
        <x:f>IFERROR(AVERAGEIF('Daily Log'!Q2:Q8,"&gt;0"),0)</x:f>
        <x:v>0</x:v>
      </x:c>
    </x:row>
    <x:row r="4">
      <x:c r="A4" s="12" t="str">
        <x:v>How to use this</x:v>
      </x:c>
      <x:c r="B4" s="13" t="str">
        <x:v>How to use this</x:v>
      </x:c>
      <x:c r="D4" s="45" t="str">
        <x:v>Current 7-Day Snapshot</x:v>
      </x:c>
      <x:c r="E4" s="46" t="str"/>
      <x:c r="F4" s="46" t="str"/>
      <x:c r="G4" s="46" t="str"/>
      <x:c r="H4" s="47" t="str"/>
      <x:c r="J4" s="30" t="str">
        <x:v>Week 2</x:v>
      </x:c>
      <x:c r="K4" s="99" t="n">
        <x:f>IFERROR(AVERAGEIF('Daily Log'!Q9:Q15,"&gt;0"),0)</x:f>
        <x:v>0</x:v>
      </x:c>
    </x:row>
    <x:row r="5">
      <x:c r="A5" s="28" t="str">
        <x:v>1</x:v>
      </x:c>
      <x:c r="B5" s="29" t="str">
        <x:v>Fill out Daily Log each day. Most of the dashboard updates itself.</x:v>
      </x:c>
      <x:c r="D5" s="59" t="str">
        <x:v>Mobility days</x:v>
      </x:c>
      <x:c r="E5" s="60" t="str">
        <x:v>Workout or walk days</x:v>
      </x:c>
      <x:c r="F5" s="60" t="str">
        <x:v>Calorie target days</x:v>
      </x:c>
      <x:c r="G5" s="60" t="str">
        <x:v>Protein target days</x:v>
      </x:c>
      <x:c r="H5" s="61" t="str">
        <x:v>Reset task days</x:v>
      </x:c>
      <x:c r="J5" s="30" t="str">
        <x:v>Week 3</x:v>
      </x:c>
      <x:c r="K5" s="99" t="n">
        <x:f>IFERROR(AVERAGEIF('Daily Log'!Q16:Q22,"&gt;0"),0)</x:f>
        <x:v>0</x:v>
      </x:c>
    </x:row>
    <x:row r="6">
      <x:c r="A6" s="30" t="str">
        <x:v>2</x:v>
      </x:c>
      <x:c r="B6" s="31" t="str">
        <x:v>Use Weekly Planner on Sunday to map your meals, workouts, and key chores.</x:v>
      </x:c>
      <x:c r="D6" s="71" t="n">
        <x:f>COUNTIF('Daily Log'!F2:F57,"Y")</x:f>
        <x:v>0</x:v>
      </x:c>
      <x:c r="E6" s="72" t="n">
        <x:f>COUNTIF('Daily Log'!G2:G57,"Y")+COUNTIF('Daily Log'!H2:H57,"Y")</x:f>
        <x:v>0</x:v>
      </x:c>
      <x:c r="F6" s="72" t="n">
        <x:f>COUNTIF('Daily Log'!K2:K57,"Y")</x:f>
        <x:v>0</x:v>
      </x:c>
      <x:c r="G6" s="72" t="n">
        <x:f>COUNTIF('Daily Log'!L2:L57,"Y")</x:f>
        <x:v>0</x:v>
      </x:c>
      <x:c r="H6" s="73" t="n">
        <x:f>COUNTIF('Daily Log'!N2:N57,"Y")</x:f>
        <x:v>0</x:v>
      </x:c>
      <x:c r="J6" s="30" t="str">
        <x:v>Week 4</x:v>
      </x:c>
      <x:c r="K6" s="99" t="n">
        <x:f>IFERROR(AVERAGEIF('Daily Log'!Q23:Q29,"&gt;0"),0)</x:f>
        <x:v>0</x:v>
      </x:c>
    </x:row>
    <x:row r="7">
      <x:c r="A7" s="30" t="str">
        <x:v>3</x:v>
      </x:c>
      <x:c r="B7" s="31" t="str">
        <x:v>Stick to the minimum routine before chasing the perfect routine.</x:v>
      </x:c>
      <x:c r="J7" s="30" t="str">
        <x:v>Week 5</x:v>
      </x:c>
      <x:c r="K7" s="99" t="n">
        <x:f>IFERROR(AVERAGEIF('Daily Log'!Q30:Q36,"&gt;0"),0)</x:f>
        <x:v>0</x:v>
      </x:c>
    </x:row>
    <x:row r="8">
      <x:c r="A8" s="30" t="str">
        <x:v>4</x:v>
      </x:c>
      <x:c r="B8" s="31" t="str">
        <x:v>Aim for consistency: mobility, workout or walk, calories, protein, and one reset task.</x:v>
      </x:c>
      <x:c r="D8" s="85" t="str">
        <x:v>Average daily score</x:v>
      </x:c>
      <x:c r="E8" s="86" t="str">
        <x:v>Average calories</x:v>
      </x:c>
      <x:c r="F8" s="86" t="str">
        <x:v>Average protein</x:v>
      </x:c>
      <x:c r="G8" s="86" t="str">
        <x:v>Average sleep</x:v>
      </x:c>
      <x:c r="H8" s="87" t="str">
        <x:v>Average steps</x:v>
      </x:c>
      <x:c r="J8" s="30" t="str">
        <x:v>Week 6</x:v>
      </x:c>
      <x:c r="K8" s="99" t="n">
        <x:f>IFERROR(AVERAGEIF('Daily Log'!Q37:Q43,"&gt;0"),0)</x:f>
        <x:v>0</x:v>
      </x:c>
    </x:row>
    <x:row r="9">
      <x:c r="A9" s="30" t="str">
        <x:v>5</x:v>
      </x:c>
      <x:c r="B9" s="31" t="str">
        <x:v>Your workout plan is lower-back friendly and focused on hips, core, and leg strength.</x:v>
      </x:c>
      <x:c r="D9" s="71" t="n">
        <x:f>IFERROR(AVERAGEIF('Daily Log'!Q2:Q57,"&gt;0"),0)</x:f>
        <x:v>0</x:v>
      </x:c>
      <x:c r="E9" s="72" t="n">
        <x:f>IFERROR(AVERAGEIF('Daily Log'!I2:I57,"&gt;0"),0)</x:f>
        <x:v>0</x:v>
      </x:c>
      <x:c r="F9" s="72" t="n">
        <x:f>IFERROR(AVERAGEIF('Daily Log'!J2:J57,"&gt;0"),0)</x:f>
        <x:v>0</x:v>
      </x:c>
      <x:c r="G9" s="72" t="n">
        <x:f>IFERROR(AVERAGEIF('Daily Log'!C2:C57,"&gt;0"),0)</x:f>
        <x:v>0</x:v>
      </x:c>
      <x:c r="H9" s="73" t="n">
        <x:f>IFERROR(AVERAGEIF('Daily Log'!M2:M57,"&gt;0"),0)</x:f>
        <x:v>0</x:v>
      </x:c>
      <x:c r="J9" s="30" t="str">
        <x:v>Week 7</x:v>
      </x:c>
      <x:c r="K9" s="99" t="n">
        <x:f>IFERROR(AVERAGEIF('Daily Log'!Q44:Q50,"&gt;0"),0)</x:f>
        <x:v>0</x:v>
      </x:c>
    </x:row>
    <x:row r="10">
      <x:c r="A10" s="30" t="str">
        <x:v>6</x:v>
      </x:c>
      <x:c r="B10" s="31" t="str">
        <x:v>If pain spikes, reduce range of motion and talk to a clinician or physio.</x:v>
      </x:c>
      <x:c r="J10" s="32" t="str">
        <x:v>Week 8</x:v>
      </x:c>
      <x:c r="K10" s="100" t="n">
        <x:f>IFERROR(AVERAGEIF('Daily Log'!Q51:Q57,"&gt;0"),0)</x:f>
        <x:v>0</x:v>
      </x:c>
    </x:row>
    <x:row r="11">
      <x:c r="A11" s="32" t="str">
        <x:v>7</x:v>
      </x:c>
      <x:c r="B11" s="33" t="str">
        <x:v>Review the Dashboard once a week, not every hour.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145283cc85624f1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3" t="str">
        <x:v>Weekly Planner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96" t="str">
        <x:v>Category</x:v>
      </x:c>
      <x:c r="B4" s="104" t="str">
        <x:v>Monday</x:v>
      </x:c>
      <x:c r="C4" s="104" t="str">
        <x:v>Tuesday</x:v>
      </x:c>
      <x:c r="D4" s="104" t="str">
        <x:v>Wednesday</x:v>
      </x:c>
      <x:c r="E4" s="104" t="str">
        <x:v>Thursday</x:v>
      </x:c>
      <x:c r="F4" s="104" t="str">
        <x:v>Friday</x:v>
      </x:c>
      <x:c r="G4" s="104" t="str">
        <x:v>Saturday</x:v>
      </x:c>
      <x:c r="H4" s="97" t="str">
        <x:v>Sunday</x:v>
      </x:c>
    </x:row>
    <x:row r="5">
      <x:c r="A5" s="114" t="str">
        <x:v>Main workout</x:v>
      </x:c>
      <x:c r="B5" s="28"/>
      <x:c r="C5" s="122"/>
      <x:c r="D5" s="122"/>
      <x:c r="E5" s="122"/>
      <x:c r="F5" s="122"/>
      <x:c r="G5" s="122"/>
      <x:c r="H5" s="29"/>
    </x:row>
    <x:row r="6">
      <x:c r="A6" s="115" t="str">
        <x:v>Mobility focus</x:v>
      </x:c>
      <x:c r="B6" s="30"/>
      <x:c r="C6" s="123"/>
      <x:c r="D6" s="123"/>
      <x:c r="E6" s="123"/>
      <x:c r="F6" s="123"/>
      <x:c r="G6" s="123"/>
      <x:c r="H6" s="31"/>
    </x:row>
    <x:row r="7">
      <x:c r="A7" s="115" t="str">
        <x:v>Dinner plan</x:v>
      </x:c>
      <x:c r="B7" s="30"/>
      <x:c r="C7" s="123"/>
      <x:c r="D7" s="123"/>
      <x:c r="E7" s="123"/>
      <x:c r="F7" s="123"/>
      <x:c r="G7" s="123"/>
      <x:c r="H7" s="31"/>
    </x:row>
    <x:row r="8">
      <x:c r="A8" s="115" t="str">
        <x:v>Lunch prep / leftovers</x:v>
      </x:c>
      <x:c r="B8" s="30"/>
      <x:c r="C8" s="123"/>
      <x:c r="D8" s="123"/>
      <x:c r="E8" s="123"/>
      <x:c r="F8" s="123"/>
      <x:c r="G8" s="123"/>
      <x:c r="H8" s="31"/>
    </x:row>
    <x:row r="9">
      <x:c r="A9" s="115" t="str">
        <x:v>Cleaning focus</x:v>
      </x:c>
      <x:c r="B9" s="30"/>
      <x:c r="C9" s="123"/>
      <x:c r="D9" s="123"/>
      <x:c r="E9" s="123"/>
      <x:c r="F9" s="123"/>
      <x:c r="G9" s="123"/>
      <x:c r="H9" s="31"/>
    </x:row>
    <x:row r="10">
      <x:c r="A10" s="115" t="str">
        <x:v>Errands / admin</x:v>
      </x:c>
      <x:c r="B10" s="30"/>
      <x:c r="C10" s="123"/>
      <x:c r="D10" s="123"/>
      <x:c r="E10" s="123"/>
      <x:c r="F10" s="123"/>
      <x:c r="G10" s="123"/>
      <x:c r="H10" s="31"/>
    </x:row>
    <x:row r="11">
      <x:c r="A11" s="115" t="str">
        <x:v>Wake / sleep target</x:v>
      </x:c>
      <x:c r="B11" s="30"/>
      <x:c r="C11" s="123"/>
      <x:c r="D11" s="123"/>
      <x:c r="E11" s="123"/>
      <x:c r="F11" s="123"/>
      <x:c r="G11" s="123"/>
      <x:c r="H11" s="31"/>
    </x:row>
    <x:row r="12">
      <x:c r="A12" s="116" t="str">
        <x:v>Notes</x:v>
      </x:c>
      <x:c r="B12" s="32"/>
      <x:c r="C12" s="124"/>
      <x:c r="D12" s="124"/>
      <x:c r="E12" s="124"/>
      <x:c r="F12" s="124"/>
      <x:c r="G12" s="124"/>
      <x:c r="H12" s="33"/>
    </x:row>
    <x:row r="14">
      <x:c r="A14" s="45" t="str">
        <x:v>Weekly anchors</x:v>
      </x:c>
      <x:c r="B14" s="46" t="str">
        <x:v>Sunday meal prep</x:v>
      </x:c>
      <x:c r="C14" s="46" t="str">
        <x:v>2 to 4 strength sessions</x:v>
      </x:c>
      <x:c r="D14" s="46" t="str">
        <x:v>5+ mobility days</x:v>
      </x:c>
      <x:c r="E14" s="46" t="str">
        <x:v>2 lower-effort recovery days</x:v>
      </x:c>
      <x:c r="F14" s="46" t="str">
        <x:v>Laundry</x:v>
      </x:c>
      <x:c r="G14" s="46" t="str">
        <x:v>Groceries</x:v>
      </x:c>
      <x:c r="H14" s="47" t="str">
        <x:v>Weekly reset</x:v>
      </x:c>
    </x:row>
    <x:row r="15">
      <x:c r="A15" s="28" t="str">
        <x:v>Minimum day</x:v>
      </x:c>
      <x:c r="B15" s="122" t="str">
        <x:v>10 min mobility</x:v>
      </x:c>
      <x:c r="C15" s="122" t="str">
        <x:v>10 min walk</x:v>
      </x:c>
      <x:c r="D15" s="122" t="str">
        <x:v>Hit calories</x:v>
      </x:c>
      <x:c r="E15" s="122" t="str">
        <x:v>Hit protein</x:v>
      </x:c>
      <x:c r="F15" s="122" t="str">
        <x:v>One reset task</x:v>
      </x:c>
      <x:c r="G15" s="122" t="str">
        <x:v>Water</x:v>
      </x:c>
      <x:c r="H15" s="29" t="str">
        <x:v>Sleep on time</x:v>
      </x:c>
    </x:row>
    <x:row r="16">
      <x:c r="A16" s="30" t="str">
        <x:v>Good day</x:v>
      </x:c>
      <x:c r="B16" s="123" t="str">
        <x:v>Mobility + strength</x:v>
      </x:c>
      <x:c r="C16" s="123" t="str">
        <x:v>2 balanced meals ready</x:v>
      </x:c>
      <x:c r="D16" s="123" t="str">
        <x:v>Kitchen reset</x:v>
      </x:c>
      <x:c r="E16" s="123" t="str">
        <x:v>Short walk</x:v>
      </x:c>
      <x:c r="F16" s="123" t="str">
        <x:v>Stretch after sitting</x:v>
      </x:c>
      <x:c r="G16" s="123" t="str">
        <x:v>Track intake</x:v>
      </x:c>
      <x:c r="H16" s="31" t="str">
        <x:v>Lights out target</x:v>
      </x:c>
    </x:row>
    <x:row r="17">
      <x:c r="A17" s="30" t="str">
        <x:v>Warning signs</x:v>
      </x:c>
      <x:c r="B17" s="123" t="str">
        <x:v>Skipping meals</x:v>
      </x:c>
      <x:c r="C17" s="123" t="str">
        <x:v>Back getting stiffer</x:v>
      </x:c>
      <x:c r="D17" s="123" t="str">
        <x:v>No movement for days</x:v>
      </x:c>
      <x:c r="E17" s="123" t="str">
        <x:v>Pain replacing effort</x:v>
      </x:c>
      <x:c r="F17" s="123" t="str">
        <x:v>Sleep drifting later</x:v>
      </x:c>
      <x:c r="G17" s="123" t="str">
        <x:v>House getting chaotic</x:v>
      </x:c>
      <x:c r="H17" s="31" t="str">
        <x:v>Tracking avoidance</x:v>
      </x:c>
    </x:row>
    <x:row r="18">
      <x:c r="A18" s="32" t="str">
        <x:v>Adjustment rule</x:v>
      </x:c>
      <x:c r="B18" s="124" t="str">
        <x:v>When life is busy, do the minimum day and move on.</x:v>
      </x:c>
      <x:c r="C18" s="124" t="str"/>
      <x:c r="D18" s="124" t="str"/>
      <x:c r="E18" s="124" t="str"/>
      <x:c r="F18" s="124" t="str"/>
      <x:c r="G18" s="124" t="str"/>
      <x:c r="H18" s="33" t="str"/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2" hidden="0" customWidth="1"/>
    <x:col min="14" max="14" width="16" hidden="0" customWidth="1"/>
    <x:col min="15" max="15" width="16" hidden="0" customWidth="1"/>
    <x:col min="16" max="16" width="14" hidden="0" customWidth="1"/>
    <x:col min="17" max="17" width="12" hidden="0" customWidth="1"/>
  </x:cols>
  <x:sheetData>
    <x:row r="1">
      <x:c r="A1" s="96" t="str">
        <x:v>Date</x:v>
      </x:c>
      <x:c r="B1" s="104" t="str">
        <x:v>Day</x:v>
      </x:c>
      <x:c r="C1" s="104" t="str">
        <x:v>Sleep hrs</x:v>
      </x:c>
      <x:c r="D1" s="104" t="str">
        <x:v>Bodyweight</x:v>
      </x:c>
      <x:c r="E1" s="104" t="str">
        <x:v>Pain / stiffness 1-10</x:v>
      </x:c>
      <x:c r="F1" s="104" t="str">
        <x:v>Mobility</x:v>
      </x:c>
      <x:c r="G1" s="104" t="str">
        <x:v>Workout</x:v>
      </x:c>
      <x:c r="H1" s="104" t="str">
        <x:v>Walk</x:v>
      </x:c>
      <x:c r="I1" s="104" t="str">
        <x:v>Calories</x:v>
      </x:c>
      <x:c r="J1" s="104" t="str">
        <x:v>Protein g</x:v>
      </x:c>
      <x:c r="K1" s="104" t="str">
        <x:v>Calorie target hit</x:v>
      </x:c>
      <x:c r="L1" s="104" t="str">
        <x:v>Protein target hit</x:v>
      </x:c>
      <x:c r="M1" s="104" t="str">
        <x:v>Steps</x:v>
      </x:c>
      <x:c r="N1" s="104" t="str">
        <x:v>Reset / cleaning task</x:v>
      </x:c>
      <x:c r="O1" s="104" t="str">
        <x:v>Meal prep / ate planned food</x:v>
      </x:c>
      <x:c r="P1" s="104" t="str">
        <x:v>Water goal</x:v>
      </x:c>
      <x:c r="Q1" s="97" t="str">
        <x:v>Daily score</x:v>
      </x:c>
    </x:row>
    <x:row r="2">
      <x:c r="A2" s="125" t="n">
        <x:v>46174</x:v>
      </x:c>
      <x:c r="B2" s="122" t="str">
        <x:v>Monday</x:v>
      </x:c>
      <x:c r="C2" s="128"/>
      <x:c r="D2" s="128"/>
      <x:c r="E2" s="128"/>
      <x:c r="F2" s="122" t="str"/>
      <x:c r="G2" s="122" t="str"/>
      <x:c r="H2" s="122" t="str"/>
      <x:c r="I2" s="128"/>
      <x:c r="J2" s="128"/>
      <x:c r="K2" s="122" t="str">
        <x:f>IF(I2="","",IF(ABS(I2-'Meal Prep'!$I$3)&lt;=150,"Y","N"))</x:f>
      </x:c>
      <x:c r="L2" s="122" t="str">
        <x:f>IF(J2="","",IF(J2&gt;='Meal Prep'!$I$4,"Y","N"))</x:f>
      </x:c>
      <x:c r="M2" s="128"/>
      <x:c r="N2" s="122" t="str"/>
      <x:c r="O2" s="122" t="str"/>
      <x:c r="P2" s="122" t="str"/>
      <x:c r="Q2" s="98" t="str">
        <x:f>IF(A2="","",IF(OR(F2="Y",G2="Y",H2="Y",K2="Y",L2="Y",N2="Y",O2="Y",P2="Y"),COUNTIF(F2:P2,"Y"),""))</x:f>
      </x:c>
    </x:row>
    <x:row r="3">
      <x:c r="A3" s="126" t="n">
        <x:v>46175</x:v>
      </x:c>
      <x:c r="B3" s="123" t="str">
        <x:v>Tuesday</x:v>
      </x:c>
      <x:c r="C3" s="129"/>
      <x:c r="D3" s="129"/>
      <x:c r="E3" s="129"/>
      <x:c r="F3" s="123" t="str"/>
      <x:c r="G3" s="123" t="str"/>
      <x:c r="H3" s="123" t="str"/>
      <x:c r="I3" s="129"/>
      <x:c r="J3" s="129"/>
      <x:c r="K3" s="123" t="str">
        <x:f>IF(I3="","",IF(ABS(I3-'Meal Prep'!$I$3)&lt;=150,"Y","N"))</x:f>
      </x:c>
      <x:c r="L3" s="123" t="str">
        <x:f>IF(J3="","",IF(J3&gt;='Meal Prep'!$I$4,"Y","N"))</x:f>
      </x:c>
      <x:c r="M3" s="129"/>
      <x:c r="N3" s="123" t="str"/>
      <x:c r="O3" s="123" t="str"/>
      <x:c r="P3" s="123" t="str"/>
      <x:c r="Q3" s="99" t="str">
        <x:f>IF(A3="","",IF(OR(F3="Y",G3="Y",H3="Y",K3="Y",L3="Y",N3="Y",O3="Y",P3="Y"),COUNTIF(F3:P3,"Y"),""))</x:f>
      </x:c>
    </x:row>
    <x:row r="4">
      <x:c r="A4" s="126" t="n">
        <x:v>46176</x:v>
      </x:c>
      <x:c r="B4" s="123" t="str">
        <x:v>Wednesday</x:v>
      </x:c>
      <x:c r="C4" s="129"/>
      <x:c r="D4" s="129"/>
      <x:c r="E4" s="129"/>
      <x:c r="F4" s="123" t="str"/>
      <x:c r="G4" s="123" t="str"/>
      <x:c r="H4" s="123" t="str"/>
      <x:c r="I4" s="129"/>
      <x:c r="J4" s="129"/>
      <x:c r="K4" s="123" t="str">
        <x:f>IF(I4="","",IF(ABS(I4-'Meal Prep'!$I$3)&lt;=150,"Y","N"))</x:f>
      </x:c>
      <x:c r="L4" s="123" t="str">
        <x:f>IF(J4="","",IF(J4&gt;='Meal Prep'!$I$4,"Y","N"))</x:f>
      </x:c>
      <x:c r="M4" s="129"/>
      <x:c r="N4" s="123" t="str"/>
      <x:c r="O4" s="123" t="str"/>
      <x:c r="P4" s="123" t="str"/>
      <x:c r="Q4" s="99" t="str">
        <x:f>IF(A4="","",IF(OR(F4="Y",G4="Y",H4="Y",K4="Y",L4="Y",N4="Y",O4="Y",P4="Y"),COUNTIF(F4:P4,"Y"),""))</x:f>
      </x:c>
    </x:row>
    <x:row r="5">
      <x:c r="A5" s="126" t="n">
        <x:v>46177</x:v>
      </x:c>
      <x:c r="B5" s="123" t="str">
        <x:v>Thursday</x:v>
      </x:c>
      <x:c r="C5" s="129"/>
      <x:c r="D5" s="129"/>
      <x:c r="E5" s="129"/>
      <x:c r="F5" s="123" t="str"/>
      <x:c r="G5" s="123" t="str"/>
      <x:c r="H5" s="123" t="str"/>
      <x:c r="I5" s="129"/>
      <x:c r="J5" s="129"/>
      <x:c r="K5" s="123" t="str">
        <x:f>IF(I5="","",IF(ABS(I5-'Meal Prep'!$I$3)&lt;=150,"Y","N"))</x:f>
      </x:c>
      <x:c r="L5" s="123" t="str">
        <x:f>IF(J5="","",IF(J5&gt;='Meal Prep'!$I$4,"Y","N"))</x:f>
      </x:c>
      <x:c r="M5" s="129"/>
      <x:c r="N5" s="123" t="str"/>
      <x:c r="O5" s="123" t="str"/>
      <x:c r="P5" s="123" t="str"/>
      <x:c r="Q5" s="99" t="str">
        <x:f>IF(A5="","",IF(OR(F5="Y",G5="Y",H5="Y",K5="Y",L5="Y",N5="Y",O5="Y",P5="Y"),COUNTIF(F5:P5,"Y"),""))</x:f>
      </x:c>
    </x:row>
    <x:row r="6">
      <x:c r="A6" s="126" t="n">
        <x:v>46178</x:v>
      </x:c>
      <x:c r="B6" s="123" t="str">
        <x:v>Friday</x:v>
      </x:c>
      <x:c r="C6" s="129"/>
      <x:c r="D6" s="129"/>
      <x:c r="E6" s="129"/>
      <x:c r="F6" s="123" t="str"/>
      <x:c r="G6" s="123" t="str"/>
      <x:c r="H6" s="123" t="str"/>
      <x:c r="I6" s="129"/>
      <x:c r="J6" s="129"/>
      <x:c r="K6" s="123" t="str">
        <x:f>IF(I6="","",IF(ABS(I6-'Meal Prep'!$I$3)&lt;=150,"Y","N"))</x:f>
      </x:c>
      <x:c r="L6" s="123" t="str">
        <x:f>IF(J6="","",IF(J6&gt;='Meal Prep'!$I$4,"Y","N"))</x:f>
      </x:c>
      <x:c r="M6" s="129"/>
      <x:c r="N6" s="123" t="str"/>
      <x:c r="O6" s="123" t="str"/>
      <x:c r="P6" s="123" t="str"/>
      <x:c r="Q6" s="99" t="str">
        <x:f>IF(A6="","",IF(OR(F6="Y",G6="Y",H6="Y",K6="Y",L6="Y",N6="Y",O6="Y",P6="Y"),COUNTIF(F6:P6,"Y"),""))</x:f>
      </x:c>
    </x:row>
    <x:row r="7">
      <x:c r="A7" s="126" t="n">
        <x:v>46179</x:v>
      </x:c>
      <x:c r="B7" s="123" t="str">
        <x:v>Saturday</x:v>
      </x:c>
      <x:c r="C7" s="129"/>
      <x:c r="D7" s="129"/>
      <x:c r="E7" s="129"/>
      <x:c r="F7" s="123" t="str"/>
      <x:c r="G7" s="123" t="str"/>
      <x:c r="H7" s="123" t="str"/>
      <x:c r="I7" s="129"/>
      <x:c r="J7" s="129"/>
      <x:c r="K7" s="123" t="str">
        <x:f>IF(I7="","",IF(ABS(I7-'Meal Prep'!$I$3)&lt;=150,"Y","N"))</x:f>
      </x:c>
      <x:c r="L7" s="123" t="str">
        <x:f>IF(J7="","",IF(J7&gt;='Meal Prep'!$I$4,"Y","N"))</x:f>
      </x:c>
      <x:c r="M7" s="129"/>
      <x:c r="N7" s="123" t="str"/>
      <x:c r="O7" s="123" t="str"/>
      <x:c r="P7" s="123" t="str"/>
      <x:c r="Q7" s="99" t="str">
        <x:f>IF(A7="","",IF(OR(F7="Y",G7="Y",H7="Y",K7="Y",L7="Y",N7="Y",O7="Y",P7="Y"),COUNTIF(F7:P7,"Y"),""))</x:f>
      </x:c>
    </x:row>
    <x:row r="8">
      <x:c r="A8" s="126" t="n">
        <x:v>46180</x:v>
      </x:c>
      <x:c r="B8" s="123" t="str">
        <x:v>Sunday</x:v>
      </x:c>
      <x:c r="C8" s="129"/>
      <x:c r="D8" s="129"/>
      <x:c r="E8" s="129"/>
      <x:c r="F8" s="123" t="str"/>
      <x:c r="G8" s="123" t="str"/>
      <x:c r="H8" s="123" t="str"/>
      <x:c r="I8" s="129"/>
      <x:c r="J8" s="129"/>
      <x:c r="K8" s="123" t="str">
        <x:f>IF(I8="","",IF(ABS(I8-'Meal Prep'!$I$3)&lt;=150,"Y","N"))</x:f>
      </x:c>
      <x:c r="L8" s="123" t="str">
        <x:f>IF(J8="","",IF(J8&gt;='Meal Prep'!$I$4,"Y","N"))</x:f>
      </x:c>
      <x:c r="M8" s="129"/>
      <x:c r="N8" s="123" t="str"/>
      <x:c r="O8" s="123" t="str"/>
      <x:c r="P8" s="123" t="str"/>
      <x:c r="Q8" s="99" t="str">
        <x:f>IF(A8="","",IF(OR(F8="Y",G8="Y",H8="Y",K8="Y",L8="Y",N8="Y",O8="Y",P8="Y"),COUNTIF(F8:P8,"Y"),""))</x:f>
      </x:c>
    </x:row>
    <x:row r="9">
      <x:c r="A9" s="126" t="n">
        <x:v>46181</x:v>
      </x:c>
      <x:c r="B9" s="123" t="str">
        <x:v>Monday</x:v>
      </x:c>
      <x:c r="C9" s="129"/>
      <x:c r="D9" s="129"/>
      <x:c r="E9" s="129"/>
      <x:c r="F9" s="123" t="str"/>
      <x:c r="G9" s="123" t="str"/>
      <x:c r="H9" s="123" t="str"/>
      <x:c r="I9" s="129"/>
      <x:c r="J9" s="129"/>
      <x:c r="K9" s="123" t="str">
        <x:f>IF(I9="","",IF(ABS(I9-'Meal Prep'!$I$3)&lt;=150,"Y","N"))</x:f>
      </x:c>
      <x:c r="L9" s="123" t="str">
        <x:f>IF(J9="","",IF(J9&gt;='Meal Prep'!$I$4,"Y","N"))</x:f>
      </x:c>
      <x:c r="M9" s="129"/>
      <x:c r="N9" s="123" t="str"/>
      <x:c r="O9" s="123" t="str"/>
      <x:c r="P9" s="123" t="str"/>
      <x:c r="Q9" s="99" t="str">
        <x:f>IF(A9="","",IF(OR(F9="Y",G9="Y",H9="Y",K9="Y",L9="Y",N9="Y",O9="Y",P9="Y"),COUNTIF(F9:P9,"Y"),""))</x:f>
      </x:c>
    </x:row>
    <x:row r="10">
      <x:c r="A10" s="126" t="n">
        <x:v>46182</x:v>
      </x:c>
      <x:c r="B10" s="123" t="str">
        <x:v>Tuesday</x:v>
      </x:c>
      <x:c r="C10" s="129"/>
      <x:c r="D10" s="129"/>
      <x:c r="E10" s="129"/>
      <x:c r="F10" s="123" t="str"/>
      <x:c r="G10" s="123" t="str"/>
      <x:c r="H10" s="123" t="str"/>
      <x:c r="I10" s="129"/>
      <x:c r="J10" s="129"/>
      <x:c r="K10" s="123" t="str">
        <x:f>IF(I10="","",IF(ABS(I10-'Meal Prep'!$I$3)&lt;=150,"Y","N"))</x:f>
      </x:c>
      <x:c r="L10" s="123" t="str">
        <x:f>IF(J10="","",IF(J10&gt;='Meal Prep'!$I$4,"Y","N"))</x:f>
      </x:c>
      <x:c r="M10" s="129"/>
      <x:c r="N10" s="123" t="str"/>
      <x:c r="O10" s="123" t="str"/>
      <x:c r="P10" s="123" t="str"/>
      <x:c r="Q10" s="99" t="str">
        <x:f>IF(A10="","",IF(OR(F10="Y",G10="Y",H10="Y",K10="Y",L10="Y",N10="Y",O10="Y",P10="Y"),COUNTIF(F10:P10,"Y"),""))</x:f>
      </x:c>
    </x:row>
    <x:row r="11">
      <x:c r="A11" s="126" t="n">
        <x:v>46183</x:v>
      </x:c>
      <x:c r="B11" s="123" t="str">
        <x:v>Wednesday</x:v>
      </x:c>
      <x:c r="C11" s="129"/>
      <x:c r="D11" s="129"/>
      <x:c r="E11" s="129"/>
      <x:c r="F11" s="123" t="str"/>
      <x:c r="G11" s="123" t="str"/>
      <x:c r="H11" s="123" t="str"/>
      <x:c r="I11" s="129"/>
      <x:c r="J11" s="129"/>
      <x:c r="K11" s="123" t="str">
        <x:f>IF(I11="","",IF(ABS(I11-'Meal Prep'!$I$3)&lt;=150,"Y","N"))</x:f>
      </x:c>
      <x:c r="L11" s="123" t="str">
        <x:f>IF(J11="","",IF(J11&gt;='Meal Prep'!$I$4,"Y","N"))</x:f>
      </x:c>
      <x:c r="M11" s="129"/>
      <x:c r="N11" s="123" t="str"/>
      <x:c r="O11" s="123" t="str"/>
      <x:c r="P11" s="123" t="str"/>
      <x:c r="Q11" s="99" t="str">
        <x:f>IF(A11="","",IF(OR(F11="Y",G11="Y",H11="Y",K11="Y",L11="Y",N11="Y",O11="Y",P11="Y"),COUNTIF(F11:P11,"Y"),""))</x:f>
      </x:c>
    </x:row>
    <x:row r="12">
      <x:c r="A12" s="126" t="n">
        <x:v>46184</x:v>
      </x:c>
      <x:c r="B12" s="123" t="str">
        <x:v>Thursday</x:v>
      </x:c>
      <x:c r="C12" s="129"/>
      <x:c r="D12" s="129"/>
      <x:c r="E12" s="129"/>
      <x:c r="F12" s="123" t="str"/>
      <x:c r="G12" s="123" t="str"/>
      <x:c r="H12" s="123" t="str"/>
      <x:c r="I12" s="129"/>
      <x:c r="J12" s="129"/>
      <x:c r="K12" s="123" t="str">
        <x:f>IF(I12="","",IF(ABS(I12-'Meal Prep'!$I$3)&lt;=150,"Y","N"))</x:f>
      </x:c>
      <x:c r="L12" s="123" t="str">
        <x:f>IF(J12="","",IF(J12&gt;='Meal Prep'!$I$4,"Y","N"))</x:f>
      </x:c>
      <x:c r="M12" s="129"/>
      <x:c r="N12" s="123" t="str"/>
      <x:c r="O12" s="123" t="str"/>
      <x:c r="P12" s="123" t="str"/>
      <x:c r="Q12" s="99" t="str">
        <x:f>IF(A12="","",IF(OR(F12="Y",G12="Y",H12="Y",K12="Y",L12="Y",N12="Y",O12="Y",P12="Y"),COUNTIF(F12:P12,"Y"),""))</x:f>
      </x:c>
    </x:row>
    <x:row r="13">
      <x:c r="A13" s="126" t="n">
        <x:v>46185</x:v>
      </x:c>
      <x:c r="B13" s="123" t="str">
        <x:v>Friday</x:v>
      </x:c>
      <x:c r="C13" s="129"/>
      <x:c r="D13" s="129"/>
      <x:c r="E13" s="129"/>
      <x:c r="F13" s="123" t="str"/>
      <x:c r="G13" s="123" t="str"/>
      <x:c r="H13" s="123" t="str"/>
      <x:c r="I13" s="129"/>
      <x:c r="J13" s="129"/>
      <x:c r="K13" s="123" t="str">
        <x:f>IF(I13="","",IF(ABS(I13-'Meal Prep'!$I$3)&lt;=150,"Y","N"))</x:f>
      </x:c>
      <x:c r="L13" s="123" t="str">
        <x:f>IF(J13="","",IF(J13&gt;='Meal Prep'!$I$4,"Y","N"))</x:f>
      </x:c>
      <x:c r="M13" s="129"/>
      <x:c r="N13" s="123" t="str"/>
      <x:c r="O13" s="123" t="str"/>
      <x:c r="P13" s="123" t="str"/>
      <x:c r="Q13" s="99" t="str">
        <x:f>IF(A13="","",IF(OR(F13="Y",G13="Y",H13="Y",K13="Y",L13="Y",N13="Y",O13="Y",P13="Y"),COUNTIF(F13:P13,"Y"),""))</x:f>
      </x:c>
    </x:row>
    <x:row r="14">
      <x:c r="A14" s="126" t="n">
        <x:v>46186</x:v>
      </x:c>
      <x:c r="B14" s="123" t="str">
        <x:v>Saturday</x:v>
      </x:c>
      <x:c r="C14" s="129"/>
      <x:c r="D14" s="129"/>
      <x:c r="E14" s="129"/>
      <x:c r="F14" s="123" t="str"/>
      <x:c r="G14" s="123" t="str"/>
      <x:c r="H14" s="123" t="str"/>
      <x:c r="I14" s="129"/>
      <x:c r="J14" s="129"/>
      <x:c r="K14" s="123" t="str">
        <x:f>IF(I14="","",IF(ABS(I14-'Meal Prep'!$I$3)&lt;=150,"Y","N"))</x:f>
      </x:c>
      <x:c r="L14" s="123" t="str">
        <x:f>IF(J14="","",IF(J14&gt;='Meal Prep'!$I$4,"Y","N"))</x:f>
      </x:c>
      <x:c r="M14" s="129"/>
      <x:c r="N14" s="123" t="str"/>
      <x:c r="O14" s="123" t="str"/>
      <x:c r="P14" s="123" t="str"/>
      <x:c r="Q14" s="99" t="str">
        <x:f>IF(A14="","",IF(OR(F14="Y",G14="Y",H14="Y",K14="Y",L14="Y",N14="Y",O14="Y",P14="Y"),COUNTIF(F14:P14,"Y"),""))</x:f>
      </x:c>
    </x:row>
    <x:row r="15">
      <x:c r="A15" s="126" t="n">
        <x:v>46187</x:v>
      </x:c>
      <x:c r="B15" s="123" t="str">
        <x:v>Sunday</x:v>
      </x:c>
      <x:c r="C15" s="129"/>
      <x:c r="D15" s="129"/>
      <x:c r="E15" s="129"/>
      <x:c r="F15" s="123" t="str"/>
      <x:c r="G15" s="123" t="str"/>
      <x:c r="H15" s="123" t="str"/>
      <x:c r="I15" s="129"/>
      <x:c r="J15" s="129"/>
      <x:c r="K15" s="123" t="str">
        <x:f>IF(I15="","",IF(ABS(I15-'Meal Prep'!$I$3)&lt;=150,"Y","N"))</x:f>
      </x:c>
      <x:c r="L15" s="123" t="str">
        <x:f>IF(J15="","",IF(J15&gt;='Meal Prep'!$I$4,"Y","N"))</x:f>
      </x:c>
      <x:c r="M15" s="129"/>
      <x:c r="N15" s="123" t="str"/>
      <x:c r="O15" s="123" t="str"/>
      <x:c r="P15" s="123" t="str"/>
      <x:c r="Q15" s="99" t="str">
        <x:f>IF(A15="","",IF(OR(F15="Y",G15="Y",H15="Y",K15="Y",L15="Y",N15="Y",O15="Y",P15="Y"),COUNTIF(F15:P15,"Y"),""))</x:f>
      </x:c>
    </x:row>
    <x:row r="16">
      <x:c r="A16" s="126" t="n">
        <x:v>46188</x:v>
      </x:c>
      <x:c r="B16" s="123" t="str">
        <x:v>Monday</x:v>
      </x:c>
      <x:c r="C16" s="129"/>
      <x:c r="D16" s="129"/>
      <x:c r="E16" s="129"/>
      <x:c r="F16" s="123" t="str"/>
      <x:c r="G16" s="123" t="str"/>
      <x:c r="H16" s="123" t="str"/>
      <x:c r="I16" s="129"/>
      <x:c r="J16" s="129"/>
      <x:c r="K16" s="123" t="str">
        <x:f>IF(I16="","",IF(ABS(I16-'Meal Prep'!$I$3)&lt;=150,"Y","N"))</x:f>
      </x:c>
      <x:c r="L16" s="123" t="str">
        <x:f>IF(J16="","",IF(J16&gt;='Meal Prep'!$I$4,"Y","N"))</x:f>
      </x:c>
      <x:c r="M16" s="129"/>
      <x:c r="N16" s="123" t="str"/>
      <x:c r="O16" s="123" t="str"/>
      <x:c r="P16" s="123" t="str"/>
      <x:c r="Q16" s="99" t="str">
        <x:f>IF(A16="","",IF(OR(F16="Y",G16="Y",H16="Y",K16="Y",L16="Y",N16="Y",O16="Y",P16="Y"),COUNTIF(F16:P16,"Y"),""))</x:f>
      </x:c>
    </x:row>
    <x:row r="17">
      <x:c r="A17" s="126" t="n">
        <x:v>46189</x:v>
      </x:c>
      <x:c r="B17" s="123" t="str">
        <x:v>Tuesday</x:v>
      </x:c>
      <x:c r="C17" s="129"/>
      <x:c r="D17" s="129"/>
      <x:c r="E17" s="129"/>
      <x:c r="F17" s="123" t="str"/>
      <x:c r="G17" s="123" t="str"/>
      <x:c r="H17" s="123" t="str"/>
      <x:c r="I17" s="129"/>
      <x:c r="J17" s="129"/>
      <x:c r="K17" s="123" t="str">
        <x:f>IF(I17="","",IF(ABS(I17-'Meal Prep'!$I$3)&lt;=150,"Y","N"))</x:f>
      </x:c>
      <x:c r="L17" s="123" t="str">
        <x:f>IF(J17="","",IF(J17&gt;='Meal Prep'!$I$4,"Y","N"))</x:f>
      </x:c>
      <x:c r="M17" s="129"/>
      <x:c r="N17" s="123" t="str"/>
      <x:c r="O17" s="123" t="str"/>
      <x:c r="P17" s="123" t="str"/>
      <x:c r="Q17" s="99" t="str">
        <x:f>IF(A17="","",IF(OR(F17="Y",G17="Y",H17="Y",K17="Y",L17="Y",N17="Y",O17="Y",P17="Y"),COUNTIF(F17:P17,"Y"),""))</x:f>
      </x:c>
    </x:row>
    <x:row r="18">
      <x:c r="A18" s="126" t="n">
        <x:v>46190</x:v>
      </x:c>
      <x:c r="B18" s="123" t="str">
        <x:v>Wednesday</x:v>
      </x:c>
      <x:c r="C18" s="129"/>
      <x:c r="D18" s="129"/>
      <x:c r="E18" s="129"/>
      <x:c r="F18" s="123" t="str"/>
      <x:c r="G18" s="123" t="str"/>
      <x:c r="H18" s="123" t="str"/>
      <x:c r="I18" s="129"/>
      <x:c r="J18" s="129"/>
      <x:c r="K18" s="123" t="str">
        <x:f>IF(I18="","",IF(ABS(I18-'Meal Prep'!$I$3)&lt;=150,"Y","N"))</x:f>
      </x:c>
      <x:c r="L18" s="123" t="str">
        <x:f>IF(J18="","",IF(J18&gt;='Meal Prep'!$I$4,"Y","N"))</x:f>
      </x:c>
      <x:c r="M18" s="129"/>
      <x:c r="N18" s="123" t="str"/>
      <x:c r="O18" s="123" t="str"/>
      <x:c r="P18" s="123" t="str"/>
      <x:c r="Q18" s="99" t="str">
        <x:f>IF(A18="","",IF(OR(F18="Y",G18="Y",H18="Y",K18="Y",L18="Y",N18="Y",O18="Y",P18="Y"),COUNTIF(F18:P18,"Y"),""))</x:f>
      </x:c>
    </x:row>
    <x:row r="19">
      <x:c r="A19" s="126" t="n">
        <x:v>46191</x:v>
      </x:c>
      <x:c r="B19" s="123" t="str">
        <x:v>Thursday</x:v>
      </x:c>
      <x:c r="C19" s="129"/>
      <x:c r="D19" s="129"/>
      <x:c r="E19" s="129"/>
      <x:c r="F19" s="123" t="str"/>
      <x:c r="G19" s="123" t="str"/>
      <x:c r="H19" s="123" t="str"/>
      <x:c r="I19" s="129"/>
      <x:c r="J19" s="129"/>
      <x:c r="K19" s="123" t="str">
        <x:f>IF(I19="","",IF(ABS(I19-'Meal Prep'!$I$3)&lt;=150,"Y","N"))</x:f>
      </x:c>
      <x:c r="L19" s="123" t="str">
        <x:f>IF(J19="","",IF(J19&gt;='Meal Prep'!$I$4,"Y","N"))</x:f>
      </x:c>
      <x:c r="M19" s="129"/>
      <x:c r="N19" s="123" t="str"/>
      <x:c r="O19" s="123" t="str"/>
      <x:c r="P19" s="123" t="str"/>
      <x:c r="Q19" s="99" t="str">
        <x:f>IF(A19="","",IF(OR(F19="Y",G19="Y",H19="Y",K19="Y",L19="Y",N19="Y",O19="Y",P19="Y"),COUNTIF(F19:P19,"Y"),""))</x:f>
      </x:c>
    </x:row>
    <x:row r="20">
      <x:c r="A20" s="126" t="n">
        <x:v>46192</x:v>
      </x:c>
      <x:c r="B20" s="123" t="str">
        <x:v>Friday</x:v>
      </x:c>
      <x:c r="C20" s="129"/>
      <x:c r="D20" s="129"/>
      <x:c r="E20" s="129"/>
      <x:c r="F20" s="123" t="str"/>
      <x:c r="G20" s="123" t="str"/>
      <x:c r="H20" s="123" t="str"/>
      <x:c r="I20" s="129"/>
      <x:c r="J20" s="129"/>
      <x:c r="K20" s="123" t="str">
        <x:f>IF(I20="","",IF(ABS(I20-'Meal Prep'!$I$3)&lt;=150,"Y","N"))</x:f>
      </x:c>
      <x:c r="L20" s="123" t="str">
        <x:f>IF(J20="","",IF(J20&gt;='Meal Prep'!$I$4,"Y","N"))</x:f>
      </x:c>
      <x:c r="M20" s="129"/>
      <x:c r="N20" s="123" t="str"/>
      <x:c r="O20" s="123" t="str"/>
      <x:c r="P20" s="123" t="str"/>
      <x:c r="Q20" s="99" t="str">
        <x:f>IF(A20="","",IF(OR(F20="Y",G20="Y",H20="Y",K20="Y",L20="Y",N20="Y",O20="Y",P20="Y"),COUNTIF(F20:P20,"Y"),""))</x:f>
      </x:c>
    </x:row>
    <x:row r="21">
      <x:c r="A21" s="126" t="n">
        <x:v>46193</x:v>
      </x:c>
      <x:c r="B21" s="123" t="str">
        <x:v>Saturday</x:v>
      </x:c>
      <x:c r="C21" s="129"/>
      <x:c r="D21" s="129"/>
      <x:c r="E21" s="129"/>
      <x:c r="F21" s="123" t="str"/>
      <x:c r="G21" s="123" t="str"/>
      <x:c r="H21" s="123" t="str"/>
      <x:c r="I21" s="129"/>
      <x:c r="J21" s="129"/>
      <x:c r="K21" s="123" t="str">
        <x:f>IF(I21="","",IF(ABS(I21-'Meal Prep'!$I$3)&lt;=150,"Y","N"))</x:f>
      </x:c>
      <x:c r="L21" s="123" t="str">
        <x:f>IF(J21="","",IF(J21&gt;='Meal Prep'!$I$4,"Y","N"))</x:f>
      </x:c>
      <x:c r="M21" s="129"/>
      <x:c r="N21" s="123" t="str"/>
      <x:c r="O21" s="123" t="str"/>
      <x:c r="P21" s="123" t="str"/>
      <x:c r="Q21" s="99" t="str">
        <x:f>IF(A21="","",IF(OR(F21="Y",G21="Y",H21="Y",K21="Y",L21="Y",N21="Y",O21="Y",P21="Y"),COUNTIF(F21:P21,"Y"),""))</x:f>
      </x:c>
    </x:row>
    <x:row r="22">
      <x:c r="A22" s="126" t="n">
        <x:v>46194</x:v>
      </x:c>
      <x:c r="B22" s="123" t="str">
        <x:v>Sunday</x:v>
      </x:c>
      <x:c r="C22" s="129"/>
      <x:c r="D22" s="129"/>
      <x:c r="E22" s="129"/>
      <x:c r="F22" s="123" t="str"/>
      <x:c r="G22" s="123" t="str"/>
      <x:c r="H22" s="123" t="str"/>
      <x:c r="I22" s="129"/>
      <x:c r="J22" s="129"/>
      <x:c r="K22" s="123" t="str">
        <x:f>IF(I22="","",IF(ABS(I22-'Meal Prep'!$I$3)&lt;=150,"Y","N"))</x:f>
      </x:c>
      <x:c r="L22" s="123" t="str">
        <x:f>IF(J22="","",IF(J22&gt;='Meal Prep'!$I$4,"Y","N"))</x:f>
      </x:c>
      <x:c r="M22" s="129"/>
      <x:c r="N22" s="123" t="str"/>
      <x:c r="O22" s="123" t="str"/>
      <x:c r="P22" s="123" t="str"/>
      <x:c r="Q22" s="99" t="str">
        <x:f>IF(A22="","",IF(OR(F22="Y",G22="Y",H22="Y",K22="Y",L22="Y",N22="Y",O22="Y",P22="Y"),COUNTIF(F22:P22,"Y"),""))</x:f>
      </x:c>
    </x:row>
    <x:row r="23">
      <x:c r="A23" s="126" t="n">
        <x:v>46195</x:v>
      </x:c>
      <x:c r="B23" s="123" t="str">
        <x:v>Monday</x:v>
      </x:c>
      <x:c r="C23" s="129"/>
      <x:c r="D23" s="129"/>
      <x:c r="E23" s="129"/>
      <x:c r="F23" s="123" t="str"/>
      <x:c r="G23" s="123" t="str"/>
      <x:c r="H23" s="123" t="str"/>
      <x:c r="I23" s="129"/>
      <x:c r="J23" s="129"/>
      <x:c r="K23" s="123" t="str">
        <x:f>IF(I23="","",IF(ABS(I23-'Meal Prep'!$I$3)&lt;=150,"Y","N"))</x:f>
      </x:c>
      <x:c r="L23" s="123" t="str">
        <x:f>IF(J23="","",IF(J23&gt;='Meal Prep'!$I$4,"Y","N"))</x:f>
      </x:c>
      <x:c r="M23" s="129"/>
      <x:c r="N23" s="123" t="str"/>
      <x:c r="O23" s="123" t="str"/>
      <x:c r="P23" s="123" t="str"/>
      <x:c r="Q23" s="99" t="str">
        <x:f>IF(A23="","",IF(OR(F23="Y",G23="Y",H23="Y",K23="Y",L23="Y",N23="Y",O23="Y",P23="Y"),COUNTIF(F23:P23,"Y"),""))</x:f>
      </x:c>
    </x:row>
    <x:row r="24">
      <x:c r="A24" s="126" t="n">
        <x:v>46196</x:v>
      </x:c>
      <x:c r="B24" s="123" t="str">
        <x:v>Tuesday</x:v>
      </x:c>
      <x:c r="C24" s="129"/>
      <x:c r="D24" s="129"/>
      <x:c r="E24" s="129"/>
      <x:c r="F24" s="123" t="str"/>
      <x:c r="G24" s="123" t="str"/>
      <x:c r="H24" s="123" t="str"/>
      <x:c r="I24" s="129"/>
      <x:c r="J24" s="129"/>
      <x:c r="K24" s="123" t="str">
        <x:f>IF(I24="","",IF(ABS(I24-'Meal Prep'!$I$3)&lt;=150,"Y","N"))</x:f>
      </x:c>
      <x:c r="L24" s="123" t="str">
        <x:f>IF(J24="","",IF(J24&gt;='Meal Prep'!$I$4,"Y","N"))</x:f>
      </x:c>
      <x:c r="M24" s="129"/>
      <x:c r="N24" s="123" t="str"/>
      <x:c r="O24" s="123" t="str"/>
      <x:c r="P24" s="123" t="str"/>
      <x:c r="Q24" s="99" t="str">
        <x:f>IF(A24="","",IF(OR(F24="Y",G24="Y",H24="Y",K24="Y",L24="Y",N24="Y",O24="Y",P24="Y"),COUNTIF(F24:P24,"Y"),""))</x:f>
      </x:c>
    </x:row>
    <x:row r="25">
      <x:c r="A25" s="126" t="n">
        <x:v>46197</x:v>
      </x:c>
      <x:c r="B25" s="123" t="str">
        <x:v>Wednesday</x:v>
      </x:c>
      <x:c r="C25" s="129"/>
      <x:c r="D25" s="129"/>
      <x:c r="E25" s="129"/>
      <x:c r="F25" s="123" t="str"/>
      <x:c r="G25" s="123" t="str"/>
      <x:c r="H25" s="123" t="str"/>
      <x:c r="I25" s="129"/>
      <x:c r="J25" s="129"/>
      <x:c r="K25" s="123" t="str">
        <x:f>IF(I25="","",IF(ABS(I25-'Meal Prep'!$I$3)&lt;=150,"Y","N"))</x:f>
      </x:c>
      <x:c r="L25" s="123" t="str">
        <x:f>IF(J25="","",IF(J25&gt;='Meal Prep'!$I$4,"Y","N"))</x:f>
      </x:c>
      <x:c r="M25" s="129"/>
      <x:c r="N25" s="123" t="str"/>
      <x:c r="O25" s="123" t="str"/>
      <x:c r="P25" s="123" t="str"/>
      <x:c r="Q25" s="99" t="str">
        <x:f>IF(A25="","",IF(OR(F25="Y",G25="Y",H25="Y",K25="Y",L25="Y",N25="Y",O25="Y",P25="Y"),COUNTIF(F25:P25,"Y"),""))</x:f>
      </x:c>
    </x:row>
    <x:row r="26">
      <x:c r="A26" s="126" t="n">
        <x:v>46198</x:v>
      </x:c>
      <x:c r="B26" s="123" t="str">
        <x:v>Thursday</x:v>
      </x:c>
      <x:c r="C26" s="129"/>
      <x:c r="D26" s="129"/>
      <x:c r="E26" s="129"/>
      <x:c r="F26" s="123" t="str"/>
      <x:c r="G26" s="123" t="str"/>
      <x:c r="H26" s="123" t="str"/>
      <x:c r="I26" s="129"/>
      <x:c r="J26" s="129"/>
      <x:c r="K26" s="123" t="str">
        <x:f>IF(I26="","",IF(ABS(I26-'Meal Prep'!$I$3)&lt;=150,"Y","N"))</x:f>
      </x:c>
      <x:c r="L26" s="123" t="str">
        <x:f>IF(J26="","",IF(J26&gt;='Meal Prep'!$I$4,"Y","N"))</x:f>
      </x:c>
      <x:c r="M26" s="129"/>
      <x:c r="N26" s="123" t="str"/>
      <x:c r="O26" s="123" t="str"/>
      <x:c r="P26" s="123" t="str"/>
      <x:c r="Q26" s="99" t="str">
        <x:f>IF(A26="","",IF(OR(F26="Y",G26="Y",H26="Y",K26="Y",L26="Y",N26="Y",O26="Y",P26="Y"),COUNTIF(F26:P26,"Y"),""))</x:f>
      </x:c>
    </x:row>
    <x:row r="27">
      <x:c r="A27" s="126" t="n">
        <x:v>46199</x:v>
      </x:c>
      <x:c r="B27" s="123" t="str">
        <x:v>Friday</x:v>
      </x:c>
      <x:c r="C27" s="129"/>
      <x:c r="D27" s="129"/>
      <x:c r="E27" s="129"/>
      <x:c r="F27" s="123" t="str"/>
      <x:c r="G27" s="123" t="str"/>
      <x:c r="H27" s="123" t="str"/>
      <x:c r="I27" s="129"/>
      <x:c r="J27" s="129"/>
      <x:c r="K27" s="123" t="str">
        <x:f>IF(I27="","",IF(ABS(I27-'Meal Prep'!$I$3)&lt;=150,"Y","N"))</x:f>
      </x:c>
      <x:c r="L27" s="123" t="str">
        <x:f>IF(J27="","",IF(J27&gt;='Meal Prep'!$I$4,"Y","N"))</x:f>
      </x:c>
      <x:c r="M27" s="129"/>
      <x:c r="N27" s="123" t="str"/>
      <x:c r="O27" s="123" t="str"/>
      <x:c r="P27" s="123" t="str"/>
      <x:c r="Q27" s="99" t="str">
        <x:f>IF(A27="","",IF(OR(F27="Y",G27="Y",H27="Y",K27="Y",L27="Y",N27="Y",O27="Y",P27="Y"),COUNTIF(F27:P27,"Y"),""))</x:f>
      </x:c>
    </x:row>
    <x:row r="28">
      <x:c r="A28" s="126" t="n">
        <x:v>46200</x:v>
      </x:c>
      <x:c r="B28" s="123" t="str">
        <x:v>Saturday</x:v>
      </x:c>
      <x:c r="C28" s="129"/>
      <x:c r="D28" s="129"/>
      <x:c r="E28" s="129"/>
      <x:c r="F28" s="123" t="str"/>
      <x:c r="G28" s="123" t="str"/>
      <x:c r="H28" s="123" t="str"/>
      <x:c r="I28" s="129"/>
      <x:c r="J28" s="129"/>
      <x:c r="K28" s="123" t="str">
        <x:f>IF(I28="","",IF(ABS(I28-'Meal Prep'!$I$3)&lt;=150,"Y","N"))</x:f>
      </x:c>
      <x:c r="L28" s="123" t="str">
        <x:f>IF(J28="","",IF(J28&gt;='Meal Prep'!$I$4,"Y","N"))</x:f>
      </x:c>
      <x:c r="M28" s="129"/>
      <x:c r="N28" s="123" t="str"/>
      <x:c r="O28" s="123" t="str"/>
      <x:c r="P28" s="123" t="str"/>
      <x:c r="Q28" s="99" t="str">
        <x:f>IF(A28="","",IF(OR(F28="Y",G28="Y",H28="Y",K28="Y",L28="Y",N28="Y",O28="Y",P28="Y"),COUNTIF(F28:P28,"Y"),""))</x:f>
      </x:c>
    </x:row>
    <x:row r="29">
      <x:c r="A29" s="126" t="n">
        <x:v>46201</x:v>
      </x:c>
      <x:c r="B29" s="123" t="str">
        <x:v>Sunday</x:v>
      </x:c>
      <x:c r="C29" s="129"/>
      <x:c r="D29" s="129"/>
      <x:c r="E29" s="129"/>
      <x:c r="F29" s="123" t="str"/>
      <x:c r="G29" s="123" t="str"/>
      <x:c r="H29" s="123" t="str"/>
      <x:c r="I29" s="129"/>
      <x:c r="J29" s="129"/>
      <x:c r="K29" s="123" t="str">
        <x:f>IF(I29="","",IF(ABS(I29-'Meal Prep'!$I$3)&lt;=150,"Y","N"))</x:f>
      </x:c>
      <x:c r="L29" s="123" t="str">
        <x:f>IF(J29="","",IF(J29&gt;='Meal Prep'!$I$4,"Y","N"))</x:f>
      </x:c>
      <x:c r="M29" s="129"/>
      <x:c r="N29" s="123" t="str"/>
      <x:c r="O29" s="123" t="str"/>
      <x:c r="P29" s="123" t="str"/>
      <x:c r="Q29" s="99" t="str">
        <x:f>IF(A29="","",IF(OR(F29="Y",G29="Y",H29="Y",K29="Y",L29="Y",N29="Y",O29="Y",P29="Y"),COUNTIF(F29:P29,"Y"),""))</x:f>
      </x:c>
    </x:row>
    <x:row r="30">
      <x:c r="A30" s="126" t="n">
        <x:v>46202</x:v>
      </x:c>
      <x:c r="B30" s="123" t="str">
        <x:v>Monday</x:v>
      </x:c>
      <x:c r="C30" s="129"/>
      <x:c r="D30" s="129"/>
      <x:c r="E30" s="129"/>
      <x:c r="F30" s="123" t="str"/>
      <x:c r="G30" s="123" t="str"/>
      <x:c r="H30" s="123" t="str"/>
      <x:c r="I30" s="129"/>
      <x:c r="J30" s="129"/>
      <x:c r="K30" s="123" t="str">
        <x:f>IF(I30="","",IF(ABS(I30-'Meal Prep'!$I$3)&lt;=150,"Y","N"))</x:f>
      </x:c>
      <x:c r="L30" s="123" t="str">
        <x:f>IF(J30="","",IF(J30&gt;='Meal Prep'!$I$4,"Y","N"))</x:f>
      </x:c>
      <x:c r="M30" s="129"/>
      <x:c r="N30" s="123" t="str"/>
      <x:c r="O30" s="123" t="str"/>
      <x:c r="P30" s="123" t="str"/>
      <x:c r="Q30" s="99" t="str">
        <x:f>IF(A30="","",IF(OR(F30="Y",G30="Y",H30="Y",K30="Y",L30="Y",N30="Y",O30="Y",P30="Y"),COUNTIF(F30:P30,"Y"),""))</x:f>
      </x:c>
    </x:row>
    <x:row r="31">
      <x:c r="A31" s="126" t="n">
        <x:v>46203</x:v>
      </x:c>
      <x:c r="B31" s="123" t="str">
        <x:v>Tuesday</x:v>
      </x:c>
      <x:c r="C31" s="129"/>
      <x:c r="D31" s="129"/>
      <x:c r="E31" s="129"/>
      <x:c r="F31" s="123" t="str"/>
      <x:c r="G31" s="123" t="str"/>
      <x:c r="H31" s="123" t="str"/>
      <x:c r="I31" s="129"/>
      <x:c r="J31" s="129"/>
      <x:c r="K31" s="123" t="str">
        <x:f>IF(I31="","",IF(ABS(I31-'Meal Prep'!$I$3)&lt;=150,"Y","N"))</x:f>
      </x:c>
      <x:c r="L31" s="123" t="str">
        <x:f>IF(J31="","",IF(J31&gt;='Meal Prep'!$I$4,"Y","N"))</x:f>
      </x:c>
      <x:c r="M31" s="129"/>
      <x:c r="N31" s="123" t="str"/>
      <x:c r="O31" s="123" t="str"/>
      <x:c r="P31" s="123" t="str"/>
      <x:c r="Q31" s="99" t="str">
        <x:f>IF(A31="","",IF(OR(F31="Y",G31="Y",H31="Y",K31="Y",L31="Y",N31="Y",O31="Y",P31="Y"),COUNTIF(F31:P31,"Y"),""))</x:f>
      </x:c>
    </x:row>
    <x:row r="32">
      <x:c r="A32" s="126" t="n">
        <x:v>46204</x:v>
      </x:c>
      <x:c r="B32" s="123" t="str">
        <x:v>Wednesday</x:v>
      </x:c>
      <x:c r="C32" s="129"/>
      <x:c r="D32" s="129"/>
      <x:c r="E32" s="129"/>
      <x:c r="F32" s="123" t="str"/>
      <x:c r="G32" s="123" t="str"/>
      <x:c r="H32" s="123" t="str"/>
      <x:c r="I32" s="129"/>
      <x:c r="J32" s="129"/>
      <x:c r="K32" s="123" t="str">
        <x:f>IF(I32="","",IF(ABS(I32-'Meal Prep'!$I$3)&lt;=150,"Y","N"))</x:f>
      </x:c>
      <x:c r="L32" s="123" t="str">
        <x:f>IF(J32="","",IF(J32&gt;='Meal Prep'!$I$4,"Y","N"))</x:f>
      </x:c>
      <x:c r="M32" s="129"/>
      <x:c r="N32" s="123" t="str"/>
      <x:c r="O32" s="123" t="str"/>
      <x:c r="P32" s="123" t="str"/>
      <x:c r="Q32" s="99" t="str">
        <x:f>IF(A32="","",IF(OR(F32="Y",G32="Y",H32="Y",K32="Y",L32="Y",N32="Y",O32="Y",P32="Y"),COUNTIF(F32:P32,"Y"),""))</x:f>
      </x:c>
    </x:row>
    <x:row r="33">
      <x:c r="A33" s="126" t="n">
        <x:v>46205</x:v>
      </x:c>
      <x:c r="B33" s="123" t="str">
        <x:v>Thursday</x:v>
      </x:c>
      <x:c r="C33" s="129"/>
      <x:c r="D33" s="129"/>
      <x:c r="E33" s="129"/>
      <x:c r="F33" s="123" t="str"/>
      <x:c r="G33" s="123" t="str"/>
      <x:c r="H33" s="123" t="str"/>
      <x:c r="I33" s="129"/>
      <x:c r="J33" s="129"/>
      <x:c r="K33" s="123" t="str">
        <x:f>IF(I33="","",IF(ABS(I33-'Meal Prep'!$I$3)&lt;=150,"Y","N"))</x:f>
      </x:c>
      <x:c r="L33" s="123" t="str">
        <x:f>IF(J33="","",IF(J33&gt;='Meal Prep'!$I$4,"Y","N"))</x:f>
      </x:c>
      <x:c r="M33" s="129"/>
      <x:c r="N33" s="123" t="str"/>
      <x:c r="O33" s="123" t="str"/>
      <x:c r="P33" s="123" t="str"/>
      <x:c r="Q33" s="99" t="str">
        <x:f>IF(A33="","",IF(OR(F33="Y",G33="Y",H33="Y",K33="Y",L33="Y",N33="Y",O33="Y",P33="Y"),COUNTIF(F33:P33,"Y"),""))</x:f>
      </x:c>
    </x:row>
    <x:row r="34">
      <x:c r="A34" s="126" t="n">
        <x:v>46206</x:v>
      </x:c>
      <x:c r="B34" s="123" t="str">
        <x:v>Friday</x:v>
      </x:c>
      <x:c r="C34" s="129"/>
      <x:c r="D34" s="129"/>
      <x:c r="E34" s="129"/>
      <x:c r="F34" s="123" t="str"/>
      <x:c r="G34" s="123" t="str"/>
      <x:c r="H34" s="123" t="str"/>
      <x:c r="I34" s="129"/>
      <x:c r="J34" s="129"/>
      <x:c r="K34" s="123" t="str">
        <x:f>IF(I34="","",IF(ABS(I34-'Meal Prep'!$I$3)&lt;=150,"Y","N"))</x:f>
      </x:c>
      <x:c r="L34" s="123" t="str">
        <x:f>IF(J34="","",IF(J34&gt;='Meal Prep'!$I$4,"Y","N"))</x:f>
      </x:c>
      <x:c r="M34" s="129"/>
      <x:c r="N34" s="123" t="str"/>
      <x:c r="O34" s="123" t="str"/>
      <x:c r="P34" s="123" t="str"/>
      <x:c r="Q34" s="99" t="str">
        <x:f>IF(A34="","",IF(OR(F34="Y",G34="Y",H34="Y",K34="Y",L34="Y",N34="Y",O34="Y",P34="Y"),COUNTIF(F34:P34,"Y"),""))</x:f>
      </x:c>
    </x:row>
    <x:row r="35">
      <x:c r="A35" s="126" t="n">
        <x:v>46207</x:v>
      </x:c>
      <x:c r="B35" s="123" t="str">
        <x:v>Saturday</x:v>
      </x:c>
      <x:c r="C35" s="129"/>
      <x:c r="D35" s="129"/>
      <x:c r="E35" s="129"/>
      <x:c r="F35" s="123" t="str"/>
      <x:c r="G35" s="123" t="str"/>
      <x:c r="H35" s="123" t="str"/>
      <x:c r="I35" s="129"/>
      <x:c r="J35" s="129"/>
      <x:c r="K35" s="123" t="str">
        <x:f>IF(I35="","",IF(ABS(I35-'Meal Prep'!$I$3)&lt;=150,"Y","N"))</x:f>
      </x:c>
      <x:c r="L35" s="123" t="str">
        <x:f>IF(J35="","",IF(J35&gt;='Meal Prep'!$I$4,"Y","N"))</x:f>
      </x:c>
      <x:c r="M35" s="129"/>
      <x:c r="N35" s="123" t="str"/>
      <x:c r="O35" s="123" t="str"/>
      <x:c r="P35" s="123" t="str"/>
      <x:c r="Q35" s="99" t="str">
        <x:f>IF(A35="","",IF(OR(F35="Y",G35="Y",H35="Y",K35="Y",L35="Y",N35="Y",O35="Y",P35="Y"),COUNTIF(F35:P35,"Y"),""))</x:f>
      </x:c>
    </x:row>
    <x:row r="36">
      <x:c r="A36" s="126" t="n">
        <x:v>46208</x:v>
      </x:c>
      <x:c r="B36" s="123" t="str">
        <x:v>Sunday</x:v>
      </x:c>
      <x:c r="C36" s="129"/>
      <x:c r="D36" s="129"/>
      <x:c r="E36" s="129"/>
      <x:c r="F36" s="123" t="str"/>
      <x:c r="G36" s="123" t="str"/>
      <x:c r="H36" s="123" t="str"/>
      <x:c r="I36" s="129"/>
      <x:c r="J36" s="129"/>
      <x:c r="K36" s="123" t="str">
        <x:f>IF(I36="","",IF(ABS(I36-'Meal Prep'!$I$3)&lt;=150,"Y","N"))</x:f>
      </x:c>
      <x:c r="L36" s="123" t="str">
        <x:f>IF(J36="","",IF(J36&gt;='Meal Prep'!$I$4,"Y","N"))</x:f>
      </x:c>
      <x:c r="M36" s="129"/>
      <x:c r="N36" s="123" t="str"/>
      <x:c r="O36" s="123" t="str"/>
      <x:c r="P36" s="123" t="str"/>
      <x:c r="Q36" s="99" t="str">
        <x:f>IF(A36="","",IF(OR(F36="Y",G36="Y",H36="Y",K36="Y",L36="Y",N36="Y",O36="Y",P36="Y"),COUNTIF(F36:P36,"Y"),""))</x:f>
      </x:c>
    </x:row>
    <x:row r="37">
      <x:c r="A37" s="126" t="n">
        <x:v>46209</x:v>
      </x:c>
      <x:c r="B37" s="123" t="str">
        <x:v>Monday</x:v>
      </x:c>
      <x:c r="C37" s="129"/>
      <x:c r="D37" s="129"/>
      <x:c r="E37" s="129"/>
      <x:c r="F37" s="123" t="str"/>
      <x:c r="G37" s="123" t="str"/>
      <x:c r="H37" s="123" t="str"/>
      <x:c r="I37" s="129"/>
      <x:c r="J37" s="129"/>
      <x:c r="K37" s="123" t="str">
        <x:f>IF(I37="","",IF(ABS(I37-'Meal Prep'!$I$3)&lt;=150,"Y","N"))</x:f>
      </x:c>
      <x:c r="L37" s="123" t="str">
        <x:f>IF(J37="","",IF(J37&gt;='Meal Prep'!$I$4,"Y","N"))</x:f>
      </x:c>
      <x:c r="M37" s="129"/>
      <x:c r="N37" s="123" t="str"/>
      <x:c r="O37" s="123" t="str"/>
      <x:c r="P37" s="123" t="str"/>
      <x:c r="Q37" s="99" t="str">
        <x:f>IF(A37="","",IF(OR(F37="Y",G37="Y",H37="Y",K37="Y",L37="Y",N37="Y",O37="Y",P37="Y"),COUNTIF(F37:P37,"Y"),""))</x:f>
      </x:c>
    </x:row>
    <x:row r="38">
      <x:c r="A38" s="126" t="n">
        <x:v>46210</x:v>
      </x:c>
      <x:c r="B38" s="123" t="str">
        <x:v>Tuesday</x:v>
      </x:c>
      <x:c r="C38" s="129"/>
      <x:c r="D38" s="129"/>
      <x:c r="E38" s="129"/>
      <x:c r="F38" s="123" t="str"/>
      <x:c r="G38" s="123" t="str"/>
      <x:c r="H38" s="123" t="str"/>
      <x:c r="I38" s="129"/>
      <x:c r="J38" s="129"/>
      <x:c r="K38" s="123" t="str">
        <x:f>IF(I38="","",IF(ABS(I38-'Meal Prep'!$I$3)&lt;=150,"Y","N"))</x:f>
      </x:c>
      <x:c r="L38" s="123" t="str">
        <x:f>IF(J38="","",IF(J38&gt;='Meal Prep'!$I$4,"Y","N"))</x:f>
      </x:c>
      <x:c r="M38" s="129"/>
      <x:c r="N38" s="123" t="str"/>
      <x:c r="O38" s="123" t="str"/>
      <x:c r="P38" s="123" t="str"/>
      <x:c r="Q38" s="99" t="str">
        <x:f>IF(A38="","",IF(OR(F38="Y",G38="Y",H38="Y",K38="Y",L38="Y",N38="Y",O38="Y",P38="Y"),COUNTIF(F38:P38,"Y"),""))</x:f>
      </x:c>
    </x:row>
    <x:row r="39">
      <x:c r="A39" s="126" t="n">
        <x:v>46211</x:v>
      </x:c>
      <x:c r="B39" s="123" t="str">
        <x:v>Wednesday</x:v>
      </x:c>
      <x:c r="C39" s="129"/>
      <x:c r="D39" s="129"/>
      <x:c r="E39" s="129"/>
      <x:c r="F39" s="123" t="str"/>
      <x:c r="G39" s="123" t="str"/>
      <x:c r="H39" s="123" t="str"/>
      <x:c r="I39" s="129"/>
      <x:c r="J39" s="129"/>
      <x:c r="K39" s="123" t="str">
        <x:f>IF(I39="","",IF(ABS(I39-'Meal Prep'!$I$3)&lt;=150,"Y","N"))</x:f>
      </x:c>
      <x:c r="L39" s="123" t="str">
        <x:f>IF(J39="","",IF(J39&gt;='Meal Prep'!$I$4,"Y","N"))</x:f>
      </x:c>
      <x:c r="M39" s="129"/>
      <x:c r="N39" s="123" t="str"/>
      <x:c r="O39" s="123" t="str"/>
      <x:c r="P39" s="123" t="str"/>
      <x:c r="Q39" s="99" t="str">
        <x:f>IF(A39="","",IF(OR(F39="Y",G39="Y",H39="Y",K39="Y",L39="Y",N39="Y",O39="Y",P39="Y"),COUNTIF(F39:P39,"Y"),""))</x:f>
      </x:c>
    </x:row>
    <x:row r="40">
      <x:c r="A40" s="126" t="n">
        <x:v>46212</x:v>
      </x:c>
      <x:c r="B40" s="123" t="str">
        <x:v>Thursday</x:v>
      </x:c>
      <x:c r="C40" s="129"/>
      <x:c r="D40" s="129"/>
      <x:c r="E40" s="129"/>
      <x:c r="F40" s="123" t="str"/>
      <x:c r="G40" s="123" t="str"/>
      <x:c r="H40" s="123" t="str"/>
      <x:c r="I40" s="129"/>
      <x:c r="J40" s="129"/>
      <x:c r="K40" s="123" t="str">
        <x:f>IF(I40="","",IF(ABS(I40-'Meal Prep'!$I$3)&lt;=150,"Y","N"))</x:f>
      </x:c>
      <x:c r="L40" s="123" t="str">
        <x:f>IF(J40="","",IF(J40&gt;='Meal Prep'!$I$4,"Y","N"))</x:f>
      </x:c>
      <x:c r="M40" s="129"/>
      <x:c r="N40" s="123" t="str"/>
      <x:c r="O40" s="123" t="str"/>
      <x:c r="P40" s="123" t="str"/>
      <x:c r="Q40" s="99" t="str">
        <x:f>IF(A40="","",IF(OR(F40="Y",G40="Y",H40="Y",K40="Y",L40="Y",N40="Y",O40="Y",P40="Y"),COUNTIF(F40:P40,"Y"),""))</x:f>
      </x:c>
    </x:row>
    <x:row r="41">
      <x:c r="A41" s="126" t="n">
        <x:v>46213</x:v>
      </x:c>
      <x:c r="B41" s="123" t="str">
        <x:v>Friday</x:v>
      </x:c>
      <x:c r="C41" s="129"/>
      <x:c r="D41" s="129"/>
      <x:c r="E41" s="129"/>
      <x:c r="F41" s="123" t="str"/>
      <x:c r="G41" s="123" t="str"/>
      <x:c r="H41" s="123" t="str"/>
      <x:c r="I41" s="129"/>
      <x:c r="J41" s="129"/>
      <x:c r="K41" s="123" t="str">
        <x:f>IF(I41="","",IF(ABS(I41-'Meal Prep'!$I$3)&lt;=150,"Y","N"))</x:f>
      </x:c>
      <x:c r="L41" s="123" t="str">
        <x:f>IF(J41="","",IF(J41&gt;='Meal Prep'!$I$4,"Y","N"))</x:f>
      </x:c>
      <x:c r="M41" s="129"/>
      <x:c r="N41" s="123" t="str"/>
      <x:c r="O41" s="123" t="str"/>
      <x:c r="P41" s="123" t="str"/>
      <x:c r="Q41" s="99" t="str">
        <x:f>IF(A41="","",IF(OR(F41="Y",G41="Y",H41="Y",K41="Y",L41="Y",N41="Y",O41="Y",P41="Y"),COUNTIF(F41:P41,"Y"),""))</x:f>
      </x:c>
    </x:row>
    <x:row r="42">
      <x:c r="A42" s="126" t="n">
        <x:v>46214</x:v>
      </x:c>
      <x:c r="B42" s="123" t="str">
        <x:v>Saturday</x:v>
      </x:c>
      <x:c r="C42" s="129"/>
      <x:c r="D42" s="129"/>
      <x:c r="E42" s="129"/>
      <x:c r="F42" s="123" t="str"/>
      <x:c r="G42" s="123" t="str"/>
      <x:c r="H42" s="123" t="str"/>
      <x:c r="I42" s="129"/>
      <x:c r="J42" s="129"/>
      <x:c r="K42" s="123" t="str">
        <x:f>IF(I42="","",IF(ABS(I42-'Meal Prep'!$I$3)&lt;=150,"Y","N"))</x:f>
      </x:c>
      <x:c r="L42" s="123" t="str">
        <x:f>IF(J42="","",IF(J42&gt;='Meal Prep'!$I$4,"Y","N"))</x:f>
      </x:c>
      <x:c r="M42" s="129"/>
      <x:c r="N42" s="123" t="str"/>
      <x:c r="O42" s="123" t="str"/>
      <x:c r="P42" s="123" t="str"/>
      <x:c r="Q42" s="99" t="str">
        <x:f>IF(A42="","",IF(OR(F42="Y",G42="Y",H42="Y",K42="Y",L42="Y",N42="Y",O42="Y",P42="Y"),COUNTIF(F42:P42,"Y"),""))</x:f>
      </x:c>
    </x:row>
    <x:row r="43">
      <x:c r="A43" s="126" t="n">
        <x:v>46215</x:v>
      </x:c>
      <x:c r="B43" s="123" t="str">
        <x:v>Sunday</x:v>
      </x:c>
      <x:c r="C43" s="129"/>
      <x:c r="D43" s="129"/>
      <x:c r="E43" s="129"/>
      <x:c r="F43" s="123" t="str"/>
      <x:c r="G43" s="123" t="str"/>
      <x:c r="H43" s="123" t="str"/>
      <x:c r="I43" s="129"/>
      <x:c r="J43" s="129"/>
      <x:c r="K43" s="123" t="str">
        <x:f>IF(I43="","",IF(ABS(I43-'Meal Prep'!$I$3)&lt;=150,"Y","N"))</x:f>
      </x:c>
      <x:c r="L43" s="123" t="str">
        <x:f>IF(J43="","",IF(J43&gt;='Meal Prep'!$I$4,"Y","N"))</x:f>
      </x:c>
      <x:c r="M43" s="129"/>
      <x:c r="N43" s="123" t="str"/>
      <x:c r="O43" s="123" t="str"/>
      <x:c r="P43" s="123" t="str"/>
      <x:c r="Q43" s="99" t="str">
        <x:f>IF(A43="","",IF(OR(F43="Y",G43="Y",H43="Y",K43="Y",L43="Y",N43="Y",O43="Y",P43="Y"),COUNTIF(F43:P43,"Y"),""))</x:f>
      </x:c>
    </x:row>
    <x:row r="44">
      <x:c r="A44" s="126" t="n">
        <x:v>46216</x:v>
      </x:c>
      <x:c r="B44" s="123" t="str">
        <x:v>Monday</x:v>
      </x:c>
      <x:c r="C44" s="129"/>
      <x:c r="D44" s="129"/>
      <x:c r="E44" s="129"/>
      <x:c r="F44" s="123" t="str"/>
      <x:c r="G44" s="123" t="str"/>
      <x:c r="H44" s="123" t="str"/>
      <x:c r="I44" s="129"/>
      <x:c r="J44" s="129"/>
      <x:c r="K44" s="123" t="str">
        <x:f>IF(I44="","",IF(ABS(I44-'Meal Prep'!$I$3)&lt;=150,"Y","N"))</x:f>
      </x:c>
      <x:c r="L44" s="123" t="str">
        <x:f>IF(J44="","",IF(J44&gt;='Meal Prep'!$I$4,"Y","N"))</x:f>
      </x:c>
      <x:c r="M44" s="129"/>
      <x:c r="N44" s="123" t="str"/>
      <x:c r="O44" s="123" t="str"/>
      <x:c r="P44" s="123" t="str"/>
      <x:c r="Q44" s="99" t="str">
        <x:f>IF(A44="","",IF(OR(F44="Y",G44="Y",H44="Y",K44="Y",L44="Y",N44="Y",O44="Y",P44="Y"),COUNTIF(F44:P44,"Y"),""))</x:f>
      </x:c>
    </x:row>
    <x:row r="45">
      <x:c r="A45" s="126" t="n">
        <x:v>46217</x:v>
      </x:c>
      <x:c r="B45" s="123" t="str">
        <x:v>Tuesday</x:v>
      </x:c>
      <x:c r="C45" s="129"/>
      <x:c r="D45" s="129"/>
      <x:c r="E45" s="129"/>
      <x:c r="F45" s="123" t="str"/>
      <x:c r="G45" s="123" t="str"/>
      <x:c r="H45" s="123" t="str"/>
      <x:c r="I45" s="129"/>
      <x:c r="J45" s="129"/>
      <x:c r="K45" s="123" t="str">
        <x:f>IF(I45="","",IF(ABS(I45-'Meal Prep'!$I$3)&lt;=150,"Y","N"))</x:f>
      </x:c>
      <x:c r="L45" s="123" t="str">
        <x:f>IF(J45="","",IF(J45&gt;='Meal Prep'!$I$4,"Y","N"))</x:f>
      </x:c>
      <x:c r="M45" s="129"/>
      <x:c r="N45" s="123" t="str"/>
      <x:c r="O45" s="123" t="str"/>
      <x:c r="P45" s="123" t="str"/>
      <x:c r="Q45" s="99" t="str">
        <x:f>IF(A45="","",IF(OR(F45="Y",G45="Y",H45="Y",K45="Y",L45="Y",N45="Y",O45="Y",P45="Y"),COUNTIF(F45:P45,"Y"),""))</x:f>
      </x:c>
    </x:row>
    <x:row r="46">
      <x:c r="A46" s="126" t="n">
        <x:v>46218</x:v>
      </x:c>
      <x:c r="B46" s="123" t="str">
        <x:v>Wednesday</x:v>
      </x:c>
      <x:c r="C46" s="129"/>
      <x:c r="D46" s="129"/>
      <x:c r="E46" s="129"/>
      <x:c r="F46" s="123" t="str"/>
      <x:c r="G46" s="123" t="str"/>
      <x:c r="H46" s="123" t="str"/>
      <x:c r="I46" s="129"/>
      <x:c r="J46" s="129"/>
      <x:c r="K46" s="123" t="str">
        <x:f>IF(I46="","",IF(ABS(I46-'Meal Prep'!$I$3)&lt;=150,"Y","N"))</x:f>
      </x:c>
      <x:c r="L46" s="123" t="str">
        <x:f>IF(J46="","",IF(J46&gt;='Meal Prep'!$I$4,"Y","N"))</x:f>
      </x:c>
      <x:c r="M46" s="129"/>
      <x:c r="N46" s="123" t="str"/>
      <x:c r="O46" s="123" t="str"/>
      <x:c r="P46" s="123" t="str"/>
      <x:c r="Q46" s="99" t="str">
        <x:f>IF(A46="","",IF(OR(F46="Y",G46="Y",H46="Y",K46="Y",L46="Y",N46="Y",O46="Y",P46="Y"),COUNTIF(F46:P46,"Y"),""))</x:f>
      </x:c>
    </x:row>
    <x:row r="47">
      <x:c r="A47" s="126" t="n">
        <x:v>46219</x:v>
      </x:c>
      <x:c r="B47" s="123" t="str">
        <x:v>Thursday</x:v>
      </x:c>
      <x:c r="C47" s="129"/>
      <x:c r="D47" s="129"/>
      <x:c r="E47" s="129"/>
      <x:c r="F47" s="123" t="str"/>
      <x:c r="G47" s="123" t="str"/>
      <x:c r="H47" s="123" t="str"/>
      <x:c r="I47" s="129"/>
      <x:c r="J47" s="129"/>
      <x:c r="K47" s="123" t="str">
        <x:f>IF(I47="","",IF(ABS(I47-'Meal Prep'!$I$3)&lt;=150,"Y","N"))</x:f>
      </x:c>
      <x:c r="L47" s="123" t="str">
        <x:f>IF(J47="","",IF(J47&gt;='Meal Prep'!$I$4,"Y","N"))</x:f>
      </x:c>
      <x:c r="M47" s="129"/>
      <x:c r="N47" s="123" t="str"/>
      <x:c r="O47" s="123" t="str"/>
      <x:c r="P47" s="123" t="str"/>
      <x:c r="Q47" s="99" t="str">
        <x:f>IF(A47="","",IF(OR(F47="Y",G47="Y",H47="Y",K47="Y",L47="Y",N47="Y",O47="Y",P47="Y"),COUNTIF(F47:P47,"Y"),""))</x:f>
      </x:c>
    </x:row>
    <x:row r="48">
      <x:c r="A48" s="126" t="n">
        <x:v>46220</x:v>
      </x:c>
      <x:c r="B48" s="123" t="str">
        <x:v>Friday</x:v>
      </x:c>
      <x:c r="C48" s="129"/>
      <x:c r="D48" s="129"/>
      <x:c r="E48" s="129"/>
      <x:c r="F48" s="123" t="str"/>
      <x:c r="G48" s="123" t="str"/>
      <x:c r="H48" s="123" t="str"/>
      <x:c r="I48" s="129"/>
      <x:c r="J48" s="129"/>
      <x:c r="K48" s="123" t="str">
        <x:f>IF(I48="","",IF(ABS(I48-'Meal Prep'!$I$3)&lt;=150,"Y","N"))</x:f>
      </x:c>
      <x:c r="L48" s="123" t="str">
        <x:f>IF(J48="","",IF(J48&gt;='Meal Prep'!$I$4,"Y","N"))</x:f>
      </x:c>
      <x:c r="M48" s="129"/>
      <x:c r="N48" s="123" t="str"/>
      <x:c r="O48" s="123" t="str"/>
      <x:c r="P48" s="123" t="str"/>
      <x:c r="Q48" s="99" t="str">
        <x:f>IF(A48="","",IF(OR(F48="Y",G48="Y",H48="Y",K48="Y",L48="Y",N48="Y",O48="Y",P48="Y"),COUNTIF(F48:P48,"Y"),""))</x:f>
      </x:c>
    </x:row>
    <x:row r="49">
      <x:c r="A49" s="126" t="n">
        <x:v>46221</x:v>
      </x:c>
      <x:c r="B49" s="123" t="str">
        <x:v>Saturday</x:v>
      </x:c>
      <x:c r="C49" s="129"/>
      <x:c r="D49" s="129"/>
      <x:c r="E49" s="129"/>
      <x:c r="F49" s="123" t="str"/>
      <x:c r="G49" s="123" t="str"/>
      <x:c r="H49" s="123" t="str"/>
      <x:c r="I49" s="129"/>
      <x:c r="J49" s="129"/>
      <x:c r="K49" s="123" t="str">
        <x:f>IF(I49="","",IF(ABS(I49-'Meal Prep'!$I$3)&lt;=150,"Y","N"))</x:f>
      </x:c>
      <x:c r="L49" s="123" t="str">
        <x:f>IF(J49="","",IF(J49&gt;='Meal Prep'!$I$4,"Y","N"))</x:f>
      </x:c>
      <x:c r="M49" s="129"/>
      <x:c r="N49" s="123" t="str"/>
      <x:c r="O49" s="123" t="str"/>
      <x:c r="P49" s="123" t="str"/>
      <x:c r="Q49" s="99" t="str">
        <x:f>IF(A49="","",IF(OR(F49="Y",G49="Y",H49="Y",K49="Y",L49="Y",N49="Y",O49="Y",P49="Y"),COUNTIF(F49:P49,"Y"),""))</x:f>
      </x:c>
    </x:row>
    <x:row r="50">
      <x:c r="A50" s="126" t="n">
        <x:v>46222</x:v>
      </x:c>
      <x:c r="B50" s="123" t="str">
        <x:v>Sunday</x:v>
      </x:c>
      <x:c r="C50" s="129"/>
      <x:c r="D50" s="129"/>
      <x:c r="E50" s="129"/>
      <x:c r="F50" s="123" t="str"/>
      <x:c r="G50" s="123" t="str"/>
      <x:c r="H50" s="123" t="str"/>
      <x:c r="I50" s="129"/>
      <x:c r="J50" s="129"/>
      <x:c r="K50" s="123" t="str">
        <x:f>IF(I50="","",IF(ABS(I50-'Meal Prep'!$I$3)&lt;=150,"Y","N"))</x:f>
      </x:c>
      <x:c r="L50" s="123" t="str">
        <x:f>IF(J50="","",IF(J50&gt;='Meal Prep'!$I$4,"Y","N"))</x:f>
      </x:c>
      <x:c r="M50" s="129"/>
      <x:c r="N50" s="123" t="str"/>
      <x:c r="O50" s="123" t="str"/>
      <x:c r="P50" s="123" t="str"/>
      <x:c r="Q50" s="99" t="str">
        <x:f>IF(A50="","",IF(OR(F50="Y",G50="Y",H50="Y",K50="Y",L50="Y",N50="Y",O50="Y",P50="Y"),COUNTIF(F50:P50,"Y"),""))</x:f>
      </x:c>
    </x:row>
    <x:row r="51">
      <x:c r="A51" s="126" t="n">
        <x:v>46223</x:v>
      </x:c>
      <x:c r="B51" s="123" t="str">
        <x:v>Monday</x:v>
      </x:c>
      <x:c r="C51" s="129"/>
      <x:c r="D51" s="129"/>
      <x:c r="E51" s="129"/>
      <x:c r="F51" s="123" t="str"/>
      <x:c r="G51" s="123" t="str"/>
      <x:c r="H51" s="123" t="str"/>
      <x:c r="I51" s="129"/>
      <x:c r="J51" s="129"/>
      <x:c r="K51" s="123" t="str">
        <x:f>IF(I51="","",IF(ABS(I51-'Meal Prep'!$I$3)&lt;=150,"Y","N"))</x:f>
      </x:c>
      <x:c r="L51" s="123" t="str">
        <x:f>IF(J51="","",IF(J51&gt;='Meal Prep'!$I$4,"Y","N"))</x:f>
      </x:c>
      <x:c r="M51" s="129"/>
      <x:c r="N51" s="123" t="str"/>
      <x:c r="O51" s="123" t="str"/>
      <x:c r="P51" s="123" t="str"/>
      <x:c r="Q51" s="99" t="str">
        <x:f>IF(A51="","",IF(OR(F51="Y",G51="Y",H51="Y",K51="Y",L51="Y",N51="Y",O51="Y",P51="Y"),COUNTIF(F51:P51,"Y"),""))</x:f>
      </x:c>
    </x:row>
    <x:row r="52">
      <x:c r="A52" s="126" t="n">
        <x:v>46224</x:v>
      </x:c>
      <x:c r="B52" s="123" t="str">
        <x:v>Tuesday</x:v>
      </x:c>
      <x:c r="C52" s="129"/>
      <x:c r="D52" s="129"/>
      <x:c r="E52" s="129"/>
      <x:c r="F52" s="123" t="str"/>
      <x:c r="G52" s="123" t="str"/>
      <x:c r="H52" s="123" t="str"/>
      <x:c r="I52" s="129"/>
      <x:c r="J52" s="129"/>
      <x:c r="K52" s="123" t="str">
        <x:f>IF(I52="","",IF(ABS(I52-'Meal Prep'!$I$3)&lt;=150,"Y","N"))</x:f>
      </x:c>
      <x:c r="L52" s="123" t="str">
        <x:f>IF(J52="","",IF(J52&gt;='Meal Prep'!$I$4,"Y","N"))</x:f>
      </x:c>
      <x:c r="M52" s="129"/>
      <x:c r="N52" s="123" t="str"/>
      <x:c r="O52" s="123" t="str"/>
      <x:c r="P52" s="123" t="str"/>
      <x:c r="Q52" s="99" t="str">
        <x:f>IF(A52="","",IF(OR(F52="Y",G52="Y",H52="Y",K52="Y",L52="Y",N52="Y",O52="Y",P52="Y"),COUNTIF(F52:P52,"Y"),""))</x:f>
      </x:c>
    </x:row>
    <x:row r="53">
      <x:c r="A53" s="126" t="n">
        <x:v>46225</x:v>
      </x:c>
      <x:c r="B53" s="123" t="str">
        <x:v>Wednesday</x:v>
      </x:c>
      <x:c r="C53" s="129"/>
      <x:c r="D53" s="129"/>
      <x:c r="E53" s="129"/>
      <x:c r="F53" s="123" t="str"/>
      <x:c r="G53" s="123" t="str"/>
      <x:c r="H53" s="123" t="str"/>
      <x:c r="I53" s="129"/>
      <x:c r="J53" s="129"/>
      <x:c r="K53" s="123" t="str">
        <x:f>IF(I53="","",IF(ABS(I53-'Meal Prep'!$I$3)&lt;=150,"Y","N"))</x:f>
      </x:c>
      <x:c r="L53" s="123" t="str">
        <x:f>IF(J53="","",IF(J53&gt;='Meal Prep'!$I$4,"Y","N"))</x:f>
      </x:c>
      <x:c r="M53" s="129"/>
      <x:c r="N53" s="123" t="str"/>
      <x:c r="O53" s="123" t="str"/>
      <x:c r="P53" s="123" t="str"/>
      <x:c r="Q53" s="99" t="str">
        <x:f>IF(A53="","",IF(OR(F53="Y",G53="Y",H53="Y",K53="Y",L53="Y",N53="Y",O53="Y",P53="Y"),COUNTIF(F53:P53,"Y"),""))</x:f>
      </x:c>
    </x:row>
    <x:row r="54">
      <x:c r="A54" s="126" t="n">
        <x:v>46226</x:v>
      </x:c>
      <x:c r="B54" s="123" t="str">
        <x:v>Thursday</x:v>
      </x:c>
      <x:c r="C54" s="129"/>
      <x:c r="D54" s="129"/>
      <x:c r="E54" s="129"/>
      <x:c r="F54" s="123" t="str"/>
      <x:c r="G54" s="123" t="str"/>
      <x:c r="H54" s="123" t="str"/>
      <x:c r="I54" s="129"/>
      <x:c r="J54" s="129"/>
      <x:c r="K54" s="123" t="str">
        <x:f>IF(I54="","",IF(ABS(I54-'Meal Prep'!$I$3)&lt;=150,"Y","N"))</x:f>
      </x:c>
      <x:c r="L54" s="123" t="str">
        <x:f>IF(J54="","",IF(J54&gt;='Meal Prep'!$I$4,"Y","N"))</x:f>
      </x:c>
      <x:c r="M54" s="129"/>
      <x:c r="N54" s="123" t="str"/>
      <x:c r="O54" s="123" t="str"/>
      <x:c r="P54" s="123" t="str"/>
      <x:c r="Q54" s="99" t="str">
        <x:f>IF(A54="","",IF(OR(F54="Y",G54="Y",H54="Y",K54="Y",L54="Y",N54="Y",O54="Y",P54="Y"),COUNTIF(F54:P54,"Y"),""))</x:f>
      </x:c>
    </x:row>
    <x:row r="55">
      <x:c r="A55" s="126" t="n">
        <x:v>46227</x:v>
      </x:c>
      <x:c r="B55" s="123" t="str">
        <x:v>Friday</x:v>
      </x:c>
      <x:c r="C55" s="129"/>
      <x:c r="D55" s="129"/>
      <x:c r="E55" s="129"/>
      <x:c r="F55" s="123" t="str"/>
      <x:c r="G55" s="123" t="str"/>
      <x:c r="H55" s="123" t="str"/>
      <x:c r="I55" s="129"/>
      <x:c r="J55" s="129"/>
      <x:c r="K55" s="123" t="str">
        <x:f>IF(I55="","",IF(ABS(I55-'Meal Prep'!$I$3)&lt;=150,"Y","N"))</x:f>
      </x:c>
      <x:c r="L55" s="123" t="str">
        <x:f>IF(J55="","",IF(J55&gt;='Meal Prep'!$I$4,"Y","N"))</x:f>
      </x:c>
      <x:c r="M55" s="129"/>
      <x:c r="N55" s="123" t="str"/>
      <x:c r="O55" s="123" t="str"/>
      <x:c r="P55" s="123" t="str"/>
      <x:c r="Q55" s="99" t="str">
        <x:f>IF(A55="","",IF(OR(F55="Y",G55="Y",H55="Y",K55="Y",L55="Y",N55="Y",O55="Y",P55="Y"),COUNTIF(F55:P55,"Y"),""))</x:f>
      </x:c>
    </x:row>
    <x:row r="56">
      <x:c r="A56" s="126" t="n">
        <x:v>46228</x:v>
      </x:c>
      <x:c r="B56" s="123" t="str">
        <x:v>Saturday</x:v>
      </x:c>
      <x:c r="C56" s="129"/>
      <x:c r="D56" s="129"/>
      <x:c r="E56" s="129"/>
      <x:c r="F56" s="123" t="str"/>
      <x:c r="G56" s="123" t="str"/>
      <x:c r="H56" s="123" t="str"/>
      <x:c r="I56" s="129"/>
      <x:c r="J56" s="129"/>
      <x:c r="K56" s="123" t="str">
        <x:f>IF(I56="","",IF(ABS(I56-'Meal Prep'!$I$3)&lt;=150,"Y","N"))</x:f>
      </x:c>
      <x:c r="L56" s="123" t="str">
        <x:f>IF(J56="","",IF(J56&gt;='Meal Prep'!$I$4,"Y","N"))</x:f>
      </x:c>
      <x:c r="M56" s="129"/>
      <x:c r="N56" s="123" t="str"/>
      <x:c r="O56" s="123" t="str"/>
      <x:c r="P56" s="123" t="str"/>
      <x:c r="Q56" s="99" t="str">
        <x:f>IF(A56="","",IF(OR(F56="Y",G56="Y",H56="Y",K56="Y",L56="Y",N56="Y",O56="Y",P56="Y"),COUNTIF(F56:P56,"Y"),""))</x:f>
      </x:c>
    </x:row>
    <x:row r="57">
      <x:c r="A57" s="127" t="n">
        <x:v>46229</x:v>
      </x:c>
      <x:c r="B57" s="124" t="str">
        <x:v>Sunday</x:v>
      </x:c>
      <x:c r="C57" s="130"/>
      <x:c r="D57" s="130"/>
      <x:c r="E57" s="130"/>
      <x:c r="F57" s="124" t="str"/>
      <x:c r="G57" s="124" t="str"/>
      <x:c r="H57" s="124" t="str"/>
      <x:c r="I57" s="130"/>
      <x:c r="J57" s="130"/>
      <x:c r="K57" s="124" t="str">
        <x:f>IF(I57="","",IF(ABS(I57-'Meal Prep'!$I$3)&lt;=150,"Y","N"))</x:f>
      </x:c>
      <x:c r="L57" s="124" t="str">
        <x:f>IF(J57="","",IF(J57&gt;='Meal Prep'!$I$4,"Y","N"))</x:f>
      </x:c>
      <x:c r="M57" s="130"/>
      <x:c r="N57" s="124" t="str"/>
      <x:c r="O57" s="124" t="str"/>
      <x:c r="P57" s="124" t="str"/>
      <x:c r="Q57" s="100" t="str">
        <x:f>IF(A57="","",IF(OR(F57="Y",G57="Y",H57="Y",K57="Y",L57="Y",N57="Y",O57="Y",P57="Y"),COUNTIF(F57:P57,"Y"),""))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9" hidden="0" customWidth="1"/>
    <x:col min="3" max="3" width="26" hidden="0" customWidth="1"/>
    <x:col min="4" max="4" width="27" hidden="0" customWidth="1"/>
    <x:col min="5" max="5" width="23" hidden="0" customWidth="1"/>
    <x:col min="6" max="6" width="19" hidden="0" customWidth="1"/>
    <x:col min="7" max="7" width="19" hidden="0" customWidth="1"/>
    <x:col min="8" max="8" width="30" hidden="0" customWidth="1"/>
  </x:cols>
  <x:sheetData>
    <x:row r="1">
      <x:c r="A1" s="3" t="str">
        <x:v>Workout Plan: lower-back friendly base focused on hips, core, and legs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96" t="str">
        <x:v>Day</x:v>
      </x:c>
      <x:c r="B4" s="104" t="str">
        <x:v>Focus</x:v>
      </x:c>
      <x:c r="C4" s="104" t="str">
        <x:v>Warm-up / mobility</x:v>
      </x:c>
      <x:c r="D4" s="104" t="str">
        <x:v>Main lifts</x:v>
      </x:c>
      <x:c r="E4" s="104" t="str">
        <x:v>Accessory work</x:v>
      </x:c>
      <x:c r="F4" s="104" t="str">
        <x:v>Core</x:v>
      </x:c>
      <x:c r="G4" s="104" t="str">
        <x:v>Conditioning</x:v>
      </x:c>
      <x:c r="H4" s="97" t="str">
        <x:v>Notes</x:v>
      </x:c>
    </x:row>
    <x:row r="5">
      <x:c r="A5" s="28" t="str">
        <x:v>Day 1</x:v>
      </x:c>
      <x:c r="B5" s="122" t="str">
        <x:v>Lower body + core</x:v>
      </x:c>
      <x:c r="C5" s="122" t="str">
        <x:v>90/90 breathing, cat-camel, hip airplanes supported</x:v>
      </x:c>
      <x:c r="D5" s="122" t="str">
        <x:v>Goblet squat, split squat, glute bridge</x:v>
      </x:c>
      <x:c r="E5" s="122" t="str">
        <x:v>Hamstring curl, calf raises</x:v>
      </x:c>
      <x:c r="F5" s="122" t="str">
        <x:v>Dead bug, side plank</x:v>
      </x:c>
      <x:c r="G5" s="122" t="str">
        <x:v>10 to 15 min incline walk</x:v>
      </x:c>
      <x:c r="H5" s="29" t="str">
        <x:v>Keep ribcage down; stop 2 reps before form breaks</x:v>
      </x:c>
    </x:row>
    <x:row r="6">
      <x:c r="A6" s="30" t="str">
        <x:v>Day 2</x:v>
      </x:c>
      <x:c r="B6" s="123" t="str">
        <x:v>Mobility + recovery</x:v>
      </x:c>
      <x:c r="C6" s="123" t="str">
        <x:v>Hip flexor stretch, adductor rockback, thoracic rotation</x:v>
      </x:c>
      <x:c r="D6" s="123" t="str">
        <x:v>None required</x:v>
      </x:c>
      <x:c r="E6" s="123" t="str">
        <x:v>Band pull-aparts, gentle reverse sled or walk</x:v>
      </x:c>
      <x:c r="F6" s="123" t="str">
        <x:v>Bird dog, suitcase carry</x:v>
      </x:c>
      <x:c r="G6" s="123" t="str">
        <x:v>20 to 30 min easy walk</x:v>
      </x:c>
      <x:c r="H6" s="31" t="str">
        <x:v>This day still counts if you only do mobility + walking</x:v>
      </x:c>
    </x:row>
    <x:row r="7">
      <x:c r="A7" s="30" t="str">
        <x:v>Day 3</x:v>
      </x:c>
      <x:c r="B7" s="123" t="str">
        <x:v>Lower body + unilateral</x:v>
      </x:c>
      <x:c r="C7" s="123" t="str">
        <x:v>Couch stretch, glute activation, ankle rocks</x:v>
      </x:c>
      <x:c r="D7" s="123" t="str">
        <x:v>Romanian deadlift light, step-up, leg press or box squat</x:v>
      </x:c>
      <x:c r="E7" s="123" t="str">
        <x:v>Seated ham curl, tib raises</x:v>
      </x:c>
      <x:c r="F7" s="123" t="str">
        <x:v>Pallof press, front plank</x:v>
      </x:c>
      <x:c r="G7" s="123" t="str">
        <x:v>Bike or brisk walk</x:v>
      </x:c>
      <x:c r="H7" s="31" t="str">
        <x:v>Use short range of motion if back feels threatened</x:v>
      </x:c>
    </x:row>
    <x:row r="8">
      <x:c r="A8" s="30" t="str">
        <x:v>Day 4</x:v>
      </x:c>
      <x:c r="B8" s="123" t="str">
        <x:v>Upper + trunk balance</x:v>
      </x:c>
      <x:c r="C8" s="123" t="str">
        <x:v>Shoulder openers, breathing reset</x:v>
      </x:c>
      <x:c r="D8" s="123" t="str">
        <x:v>Row, incline press, pulldown</x:v>
      </x:c>
      <x:c r="E8" s="123" t="str">
        <x:v>Rear delt, curls, triceps</x:v>
      </x:c>
      <x:c r="F8" s="123" t="str">
        <x:v>Farmer carry, side plank</x:v>
      </x:c>
      <x:c r="G8" s="123" t="str">
        <x:v>10 min walk</x:v>
      </x:c>
      <x:c r="H8" s="31" t="str">
        <x:v>Keep volume lower than upper-body capacity so recovery goes to hips and legs</x:v>
      </x:c>
    </x:row>
    <x:row r="9">
      <x:c r="A9" s="30" t="str">
        <x:v>Day 5</x:v>
      </x:c>
      <x:c r="B9" s="123" t="str">
        <x:v>Mobility circuit</x:v>
      </x:c>
      <x:c r="C9" s="123" t="str">
        <x:v>90/90, pigeon regression, hamstring floss, child's pose breathing</x:v>
      </x:c>
      <x:c r="D9" s="123" t="str">
        <x:v>Bodyweight squat to box</x:v>
      </x:c>
      <x:c r="E9" s="123" t="str">
        <x:v>Mini-band lateral walk</x:v>
      </x:c>
      <x:c r="F9" s="123" t="str">
        <x:v>McGill curl-up</x:v>
      </x:c>
      <x:c r="G9" s="123" t="str">
        <x:v>Optional walk</x:v>
      </x:c>
      <x:c r="H9" s="31" t="str">
        <x:v>Use this after long sitting or when stiffness is high</x:v>
      </x:c>
    </x:row>
    <x:row r="10">
      <x:c r="A10" s="32" t="str">
        <x:v>Day 6/7</x:v>
      </x:c>
      <x:c r="B10" s="124" t="str">
        <x:v>Rest or walk</x:v>
      </x:c>
      <x:c r="C10" s="124" t="str">
        <x:v>Short mobility flow</x:v>
      </x:c>
      <x:c r="D10" s="124" t="str">
        <x:v>None</x:v>
      </x:c>
      <x:c r="E10" s="124" t="str">
        <x:v>None</x:v>
      </x:c>
      <x:c r="F10" s="124" t="str">
        <x:v>Breathing reset</x:v>
      </x:c>
      <x:c r="G10" s="124" t="str">
        <x:v>20 to 40 min easy walk</x:v>
      </x:c>
      <x:c r="H10" s="33" t="str">
        <x:v>You do not need to earn rest days</x:v>
      </x:c>
    </x:row>
    <x:row r="12">
      <x:c r="A12" s="45" t="str">
        <x:v>Progression rules</x:v>
      </x:c>
      <x:c r="B12" s="46" t="str">
        <x:v>Start with 2 sets</x:v>
      </x:c>
      <x:c r="C12" s="46" t="str">
        <x:v>Add reps before load</x:v>
      </x:c>
      <x:c r="D12" s="46" t="str">
        <x:v>Pain should stay mild and settle fast</x:v>
      </x:c>
      <x:c r="E12" s="46" t="str">
        <x:v>If stiffness rises, reduce load not all movement</x:v>
      </x:c>
      <x:c r="F12" s="46" t="str">
        <x:v>Repeat the same plan for 4 to 6 weeks</x:v>
      </x:c>
      <x:c r="G12" s="46" t="str">
        <x:v>Target 2 lower-body days minimum</x:v>
      </x:c>
      <x:c r="H12" s="47" t="str">
        <x:v>Mobility is practice, not punishment</x:v>
      </x:c>
    </x:row>
    <x:row r="14">
      <x:c r="A14" s="28" t="str">
        <x:v>Suggested rep ranges</x:v>
      </x:c>
      <x:c r="B14" s="122" t="str">
        <x:v>Squat / leg press 6-10</x:v>
      </x:c>
      <x:c r="C14" s="122" t="str">
        <x:v>Split squat / step-up 8-12</x:v>
      </x:c>
      <x:c r="D14" s="122" t="str">
        <x:v>RDL 6-10</x:v>
      </x:c>
      <x:c r="E14" s="122" t="str">
        <x:v>Bridge / curl 10-15</x:v>
      </x:c>
      <x:c r="F14" s="122" t="str">
        <x:v>Core holds 20-40 sec</x:v>
      </x:c>
      <x:c r="G14" s="122" t="str">
        <x:v>Walk most days</x:v>
      </x:c>
      <x:c r="H14" s="29" t="str"/>
    </x:row>
    <x:row r="15">
      <x:c r="A15" s="30" t="str">
        <x:v>Red flags</x:v>
      </x:c>
      <x:c r="B15" s="123" t="str">
        <x:v>Sharp radiating pain</x:v>
      </x:c>
      <x:c r="C15" s="123" t="str">
        <x:v>Numbness or weakness spike</x:v>
      </x:c>
      <x:c r="D15" s="123" t="str">
        <x:v>Pain worsening after each session</x:v>
      </x:c>
      <x:c r="E15" s="123" t="str">
        <x:v>Form changing to avoid pain</x:v>
      </x:c>
      <x:c r="F15" s="123" t="str"/>
      <x:c r="G15" s="123" t="str"/>
      <x:c r="H15" s="31" t="str"/>
    </x:row>
    <x:row r="16">
      <x:c r="A16" s="30" t="str">
        <x:v>If a flare happens</x:v>
      </x:c>
      <x:c r="B16" s="123" t="str">
        <x:v>Walk</x:v>
      </x:c>
      <x:c r="C16" s="123" t="str">
        <x:v>Gentle breathing</x:v>
      </x:c>
      <x:c r="D16" s="123" t="str">
        <x:v>Hip mobility in small range</x:v>
      </x:c>
      <x:c r="E16" s="123" t="str">
        <x:v>Skip loaded spinal flexion</x:v>
      </x:c>
      <x:c r="F16" s="123" t="str">
        <x:v>Resume with easier version next session</x:v>
      </x:c>
      <x:c r="G16" s="123" t="str"/>
      <x:c r="H16" s="31" t="str"/>
    </x:row>
    <x:row r="17">
      <x:c r="A17" s="30" t="str">
        <x:v>What matters most</x:v>
      </x:c>
      <x:c r="B17" s="123" t="str">
        <x:v>Hip control</x:v>
      </x:c>
      <x:c r="C17" s="123" t="str">
        <x:v>Core bracing</x:v>
      </x:c>
      <x:c r="D17" s="123" t="str">
        <x:v>Leg strength</x:v>
      </x:c>
      <x:c r="E17" s="123" t="str">
        <x:v>Daily movement</x:v>
      </x:c>
      <x:c r="F17" s="123" t="str">
        <x:v>Consistency over intensity</x:v>
      </x:c>
      <x:c r="G17" s="123" t="str"/>
      <x:c r="H17" s="31" t="str"/>
    </x:row>
    <x:row r="18">
      <x:c r="A18" s="32" t="str">
        <x:v>Upper-body note</x:v>
      </x:c>
      <x:c r="B18" s="124" t="str">
        <x:v>You are already strong there, so this plan keeps upper work supportive instead of dominant.</x:v>
      </x:c>
      <x:c r="C18" s="124" t="str"/>
      <x:c r="D18" s="124" t="str"/>
      <x:c r="E18" s="124" t="str"/>
      <x:c r="F18" s="124" t="str"/>
      <x:c r="G18" s="124" t="str"/>
      <x:c r="H18" s="33" t="str"/>
    </x:row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1" hidden="0" customWidth="1"/>
    <x:col min="3" max="3" width="13" hidden="0" customWidth="1"/>
    <x:col min="4" max="4" width="13" hidden="0" customWidth="1"/>
    <x:col min="5" max="5" width="17" hidden="0" customWidth="1"/>
    <x:col min="6" max="6" width="26" hidden="0" customWidth="1"/>
    <x:col min="8" max="8" width="20" hidden="0" customWidth="1"/>
    <x:col min="9" max="9" width="16" hidden="0" customWidth="1"/>
    <x:col min="10" max="10" width="29" hidden="0" customWidth="1"/>
  </x:cols>
  <x:sheetData>
    <x:row r="1">
      <x:c r="A1" s="3" t="str">
        <x:v>Meal Prep and Nutrition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45" t="str">
        <x:v>Targets</x:v>
      </x:c>
      <x:c r="I2" s="46" t="str"/>
      <x:c r="J2" s="47" t="str"/>
    </x:row>
    <x:row r="3">
      <x:c r="H3" s="28" t="str">
        <x:v>Daily calorie target</x:v>
      </x:c>
      <x:c r="I3" s="128" t="n">
        <x:v>2200</x:v>
      </x:c>
      <x:c r="J3" s="29" t="str">
        <x:v>Adjust up or down after 2 to 3 consistent weeks</x:v>
      </x:c>
    </x:row>
    <x:row r="4">
      <x:c r="A4" s="96" t="str">
        <x:v>Meal</x:v>
      </x:c>
      <x:c r="B4" s="104" t="str">
        <x:v>Example</x:v>
      </x:c>
      <x:c r="C4" s="104" t="str">
        <x:v>Calories</x:v>
      </x:c>
      <x:c r="D4" s="104" t="str">
        <x:v>Protein g</x:v>
      </x:c>
      <x:c r="E4" s="104" t="str">
        <x:v>Prep frequency</x:v>
      </x:c>
      <x:c r="F4" s="97" t="str">
        <x:v>Notes</x:v>
      </x:c>
      <x:c r="H4" s="30" t="str">
        <x:v>Daily protein target</x:v>
      </x:c>
      <x:c r="I4" s="129" t="n">
        <x:v>160</x:v>
      </x:c>
      <x:c r="J4" s="31" t="str">
        <x:v>Aim first for consistency, not perfection</x:v>
      </x:c>
    </x:row>
    <x:row r="5">
      <x:c r="A5" s="28" t="str">
        <x:v>Breakfast</x:v>
      </x:c>
      <x:c r="B5" s="122" t="str">
        <x:v>Greek yogurt bowl + fruit + oats</x:v>
      </x:c>
      <x:c r="C5" s="122" t="n">
        <x:v>450</x:v>
      </x:c>
      <x:c r="D5" s="122" t="n">
        <x:v>35</x:v>
      </x:c>
      <x:c r="E5" s="122" t="str">
        <x:v>3 to 5x / week</x:v>
      </x:c>
      <x:c r="F5" s="29" t="str">
        <x:v>Easy win when appetite is low</x:v>
      </x:c>
      <x:c r="H5" s="32" t="str">
        <x:v>Meal prep day</x:v>
      </x:c>
      <x:c r="I5" s="124" t="str">
        <x:v>Sunday</x:v>
      </x:c>
      <x:c r="J5" s="33" t="str">
        <x:v>Cook proteins, carbs, and washed produce</x:v>
      </x:c>
    </x:row>
    <x:row r="6">
      <x:c r="A6" s="30" t="str">
        <x:v>Lunch</x:v>
      </x:c>
      <x:c r="B6" s="123" t="str">
        <x:v>Chicken rice bowl with veg</x:v>
      </x:c>
      <x:c r="C6" s="123" t="n">
        <x:v>650</x:v>
      </x:c>
      <x:c r="D6" s="123" t="n">
        <x:v>45</x:v>
      </x:c>
      <x:c r="E6" s="123" t="str">
        <x:v>Batch 3 to 4 servings</x:v>
      </x:c>
      <x:c r="F6" s="31" t="str">
        <x:v>Use sauces for variety</x:v>
      </x:c>
    </x:row>
    <x:row r="7">
      <x:c r="A7" s="30" t="str">
        <x:v>Dinner</x:v>
      </x:c>
      <x:c r="B7" s="123" t="str">
        <x:v>Ground turkey pasta or potatoes + veg</x:v>
      </x:c>
      <x:c r="C7" s="123" t="n">
        <x:v>700</x:v>
      </x:c>
      <x:c r="D7" s="123" t="n">
        <x:v>40</x:v>
      </x:c>
      <x:c r="E7" s="123" t="str">
        <x:v>Batch 2 to 3 servings</x:v>
      </x:c>
      <x:c r="F7" s="31" t="str">
        <x:v>Keep dinner simple enough to repeat</x:v>
      </x:c>
      <x:c r="H7" s="12" t="str">
        <x:v>Weekly prep checklist</x:v>
      </x:c>
      <x:c r="I7" s="138" t="str"/>
      <x:c r="J7" s="13" t="str"/>
    </x:row>
    <x:row r="8">
      <x:c r="A8" s="30" t="str">
        <x:v>Snack</x:v>
      </x:c>
      <x:c r="B8" s="123" t="str">
        <x:v>Protein shake + banana</x:v>
      </x:c>
      <x:c r="C8" s="123" t="n">
        <x:v>250</x:v>
      </x:c>
      <x:c r="D8" s="123" t="n">
        <x:v>30</x:v>
      </x:c>
      <x:c r="E8" s="123" t="str">
        <x:v>Keep stocked</x:v>
      </x:c>
      <x:c r="F8" s="31" t="str">
        <x:v>Good for busy days</x:v>
      </x:c>
      <x:c r="H8" s="28" t="str">
        <x:v>Protein cooked</x:v>
      </x:c>
      <x:c r="I8" s="122" t="str"/>
      <x:c r="J8" s="29" t="str"/>
    </x:row>
    <x:row r="9">
      <x:c r="A9" s="30" t="str">
        <x:v>Snack</x:v>
      </x:c>
      <x:c r="B9" s="123" t="str">
        <x:v>Cottage cheese + cereal</x:v>
      </x:c>
      <x:c r="C9" s="123" t="n">
        <x:v>300</x:v>
      </x:c>
      <x:c r="D9" s="123" t="n">
        <x:v>25</x:v>
      </x:c>
      <x:c r="E9" s="123" t="str">
        <x:v>Keep stocked</x:v>
      </x:c>
      <x:c r="F9" s="31" t="str">
        <x:v>Easy protein bump</x:v>
      </x:c>
      <x:c r="H9" s="30" t="str">
        <x:v>Carb base cooked</x:v>
      </x:c>
      <x:c r="I9" s="123" t="str"/>
      <x:c r="J9" s="31" t="str"/>
    </x:row>
    <x:row r="10">
      <x:c r="A10" s="30" t="str">
        <x:v>Free meal</x:v>
      </x:c>
      <x:c r="B10" s="123" t="str">
        <x:v>Whatever keeps adherence high</x:v>
      </x:c>
      <x:c r="C10" s="123" t="n">
        <x:v>700</x:v>
      </x:c>
      <x:c r="D10" s="123" t="n">
        <x:v>25</x:v>
      </x:c>
      <x:c r="E10" s="123" t="str">
        <x:v>1 to 2x / week</x:v>
      </x:c>
      <x:c r="F10" s="31" t="str">
        <x:v>Enjoy it and move on</x:v>
      </x:c>
      <x:c r="H10" s="30" t="str">
        <x:v>Fruit and veg ready</x:v>
      </x:c>
      <x:c r="I10" s="123" t="str"/>
      <x:c r="J10" s="31" t="str"/>
    </x:row>
    <x:row r="11">
      <x:c r="A11" s="32" t="str">
        <x:v>Emergency option</x:v>
      </x:c>
      <x:c r="B11" s="124" t="str">
        <x:v>Rotisserie chicken + microwave rice</x:v>
      </x:c>
      <x:c r="C11" s="124" t="n">
        <x:v>600</x:v>
      </x:c>
      <x:c r="D11" s="124" t="n">
        <x:v>40</x:v>
      </x:c>
      <x:c r="E11" s="124" t="str">
        <x:v>Always available</x:v>
      </x:c>
      <x:c r="F11" s="33" t="str">
        <x:v>Prevents takeout spirals</x:v>
      </x:c>
      <x:c r="H11" s="32" t="str">
        <x:v>Emergency meal stocked</x:v>
      </x:c>
      <x:c r="I11" s="124" t="str"/>
      <x:c r="J11" s="33" t="str"/>
    </x:row>
  </x:sheetData>
  <x:mergeCells>
    <x:mergeCell ref="A1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4" hidden="0" customWidth="1"/>
    <x:col min="5" max="5" width="11" hidden="0" customWidth="1"/>
    <x:col min="6" max="6" width="26" hidden="0" customWidth="1"/>
    <x:col min="7" max="7" width="10" hidden="0" customWidth="1"/>
  </x:cols>
  <x:sheetData>
    <x:row r="1">
      <x:c r="A1" s="3" t="str">
        <x:v>Cleaning and Life Admin Schedule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4">
      <x:c r="A4" s="96" t="str">
        <x:v>Area</x:v>
      </x:c>
      <x:c r="B4" s="104" t="str">
        <x:v>Task</x:v>
      </x:c>
      <x:c r="C4" s="104" t="str">
        <x:v>Frequency</x:v>
      </x:c>
      <x:c r="D4" s="104" t="str">
        <x:v>Typical day</x:v>
      </x:c>
      <x:c r="E4" s="104" t="str">
        <x:v>Time</x:v>
      </x:c>
      <x:c r="F4" s="104" t="str">
        <x:v>Minimum version</x:v>
      </x:c>
      <x:c r="G4" s="97" t="str">
        <x:v>Done?</x:v>
      </x:c>
    </x:row>
    <x:row r="5">
      <x:c r="A5" s="28" t="str">
        <x:v>Kitchen</x:v>
      </x:c>
      <x:c r="B5" s="122" t="str">
        <x:v>Dishes + wipe counters</x:v>
      </x:c>
      <x:c r="C5" s="122" t="str">
        <x:v>Daily</x:v>
      </x:c>
      <x:c r="D5" s="122" t="str">
        <x:v>Night</x:v>
      </x:c>
      <x:c r="E5" s="122" t="str">
        <x:v>10 min</x:v>
      </x:c>
      <x:c r="F5" s="122" t="str">
        <x:v>Dishes only</x:v>
      </x:c>
      <x:c r="G5" s="29" t="str"/>
    </x:row>
    <x:row r="6">
      <x:c r="A6" s="30" t="str">
        <x:v>Home</x:v>
      </x:c>
      <x:c r="B6" s="123" t="str">
        <x:v>10-minute reset</x:v>
      </x:c>
      <x:c r="C6" s="123" t="str">
        <x:v>Daily</x:v>
      </x:c>
      <x:c r="D6" s="123" t="str">
        <x:v>Night</x:v>
      </x:c>
      <x:c r="E6" s="123" t="str">
        <x:v>10 min</x:v>
      </x:c>
      <x:c r="F6" s="123" t="str">
        <x:v>Pick up visible clutter</x:v>
      </x:c>
      <x:c r="G6" s="31" t="str"/>
    </x:row>
    <x:row r="7">
      <x:c r="A7" s="30" t="str">
        <x:v>Laundry</x:v>
      </x:c>
      <x:c r="B7" s="123" t="str">
        <x:v>One load wash/dry/fold</x:v>
      </x:c>
      <x:c r="C7" s="123" t="str">
        <x:v>Weekly</x:v>
      </x:c>
      <x:c r="D7" s="123" t="str">
        <x:v>Saturday</x:v>
      </x:c>
      <x:c r="E7" s="123" t="str">
        <x:v>60 to 90 min</x:v>
      </x:c>
      <x:c r="F7" s="123" t="str">
        <x:v>Wash only</x:v>
      </x:c>
      <x:c r="G7" s="31" t="str"/>
    </x:row>
    <x:row r="8">
      <x:c r="A8" s="30" t="str">
        <x:v>Bathroom</x:v>
      </x:c>
      <x:c r="B8" s="123" t="str">
        <x:v>Sink + toilet + mirror</x:v>
      </x:c>
      <x:c r="C8" s="123" t="str">
        <x:v>Weekly</x:v>
      </x:c>
      <x:c r="D8" s="123" t="str">
        <x:v>Wednesday</x:v>
      </x:c>
      <x:c r="E8" s="123" t="str">
        <x:v>15 min</x:v>
      </x:c>
      <x:c r="F8" s="123" t="str">
        <x:v>Sink only</x:v>
      </x:c>
      <x:c r="G8" s="31" t="str"/>
    </x:row>
    <x:row r="9">
      <x:c r="A9" s="30" t="str">
        <x:v>Floors</x:v>
      </x:c>
      <x:c r="B9" s="123" t="str">
        <x:v>Vacuum or sweep high traffic</x:v>
      </x:c>
      <x:c r="C9" s="123" t="str">
        <x:v>Weekly</x:v>
      </x:c>
      <x:c r="D9" s="123" t="str">
        <x:v>Thursday</x:v>
      </x:c>
      <x:c r="E9" s="123" t="str">
        <x:v>15 min</x:v>
      </x:c>
      <x:c r="F9" s="123" t="str">
        <x:v>Entry + kitchen only</x:v>
      </x:c>
      <x:c r="G9" s="31" t="str"/>
    </x:row>
    <x:row r="10">
      <x:c r="A10" s="30" t="str">
        <x:v>Bedding</x:v>
      </x:c>
      <x:c r="B10" s="123" t="str">
        <x:v>Change sheets</x:v>
      </x:c>
      <x:c r="C10" s="123" t="str">
        <x:v>Weekly</x:v>
      </x:c>
      <x:c r="D10" s="123" t="str">
        <x:v>Sunday</x:v>
      </x:c>
      <x:c r="E10" s="123" t="str">
        <x:v>10 min</x:v>
      </x:c>
      <x:c r="F10" s="123" t="str">
        <x:v>Pillowcases only if needed</x:v>
      </x:c>
      <x:c r="G10" s="31" t="str"/>
    </x:row>
    <x:row r="11">
      <x:c r="A11" s="30" t="str">
        <x:v>Fridge</x:v>
      </x:c>
      <x:c r="B11" s="123" t="str">
        <x:v>Throw out old food + wipe shelf</x:v>
      </x:c>
      <x:c r="C11" s="123" t="str">
        <x:v>Weekly</x:v>
      </x:c>
      <x:c r="D11" s="123" t="str">
        <x:v>Sunday</x:v>
      </x:c>
      <x:c r="E11" s="123" t="str">
        <x:v>10 min</x:v>
      </x:c>
      <x:c r="F11" s="123" t="str">
        <x:v>Throw old food only</x:v>
      </x:c>
      <x:c r="G11" s="31" t="str"/>
    </x:row>
    <x:row r="12">
      <x:c r="A12" s="30" t="str">
        <x:v>Groceries</x:v>
      </x:c>
      <x:c r="B12" s="123" t="str">
        <x:v>Plan and buy staples</x:v>
      </x:c>
      <x:c r="C12" s="123" t="str">
        <x:v>Weekly</x:v>
      </x:c>
      <x:c r="D12" s="123" t="str">
        <x:v>Saturday</x:v>
      </x:c>
      <x:c r="E12" s="123" t="str">
        <x:v>45 min</x:v>
      </x:c>
      <x:c r="F12" s="123" t="str">
        <x:v>Buy protein + carbs + fruit</x:v>
      </x:c>
      <x:c r="G12" s="31" t="str"/>
    </x:row>
    <x:row r="13">
      <x:c r="A13" s="30" t="str">
        <x:v>Paperwork</x:v>
      </x:c>
      <x:c r="B13" s="123" t="str">
        <x:v>Bills / inbox / appointments</x:v>
      </x:c>
      <x:c r="C13" s="123" t="str">
        <x:v>Weekly</x:v>
      </x:c>
      <x:c r="D13" s="123" t="str">
        <x:v>Monday</x:v>
      </x:c>
      <x:c r="E13" s="123" t="str">
        <x:v>20 min</x:v>
      </x:c>
      <x:c r="F13" s="123" t="str">
        <x:v>One important item</x:v>
      </x:c>
      <x:c r="G13" s="31" t="str"/>
    </x:row>
    <x:row r="14">
      <x:c r="A14" s="30" t="str">
        <x:v>Deep clean</x:v>
      </x:c>
      <x:c r="B14" s="123" t="str">
        <x:v>Bathroom or kitchen deeper scrub</x:v>
      </x:c>
      <x:c r="C14" s="123" t="str">
        <x:v>Monthly</x:v>
      </x:c>
      <x:c r="D14" s="123" t="str">
        <x:v>First weekend</x:v>
      </x:c>
      <x:c r="E14" s="123" t="str">
        <x:v>30 min</x:v>
      </x:c>
      <x:c r="F14" s="123" t="str">
        <x:v>One zone only</x:v>
      </x:c>
      <x:c r="G14" s="31" t="str"/>
    </x:row>
    <x:row r="15">
      <x:c r="A15" s="30" t="str">
        <x:v>Declutter</x:v>
      </x:c>
      <x:c r="B15" s="123" t="str">
        <x:v>Closet / drawer / surfaces</x:v>
      </x:c>
      <x:c r="C15" s="123" t="str">
        <x:v>Monthly</x:v>
      </x:c>
      <x:c r="D15" s="123" t="str">
        <x:v>Third weekend</x:v>
      </x:c>
      <x:c r="E15" s="123" t="str">
        <x:v>30 min</x:v>
      </x:c>
      <x:c r="F15" s="123" t="str">
        <x:v>One bag or one drawer</x:v>
      </x:c>
      <x:c r="G15" s="31" t="str"/>
    </x:row>
    <x:row r="16">
      <x:c r="A16" s="32" t="str">
        <x:v>Recovery</x:v>
      </x:c>
      <x:c r="B16" s="124" t="str">
        <x:v>Stretch after heavy cleaning</x:v>
      </x:c>
      <x:c r="C16" s="124" t="str">
        <x:v>Every cleaning day</x:v>
      </x:c>
      <x:c r="D16" s="124" t="str">
        <x:v>After task</x:v>
      </x:c>
      <x:c r="E16" s="124" t="str">
        <x:v>5 min</x:v>
      </x:c>
      <x:c r="F16" s="124" t="str">
        <x:v>Breathing only</x:v>
      </x:c>
      <x:c r="G16" s="33" t="str"/>
    </x:row>
    <x:row r="18">
      <x:c r="A18" s="165" t="str">
        <x:v>Rule</x:v>
      </x:c>
      <x:c r="B18" s="166" t="str">
        <x:v>If the house starts slipping, return to dishes, laundry, groceries, and a nightly 10-minute reset.</x:v>
      </x:c>
      <x:c r="C18" s="166" t="str"/>
      <x:c r="D18" s="166" t="str"/>
      <x:c r="E18" s="166" t="str"/>
      <x:c r="F18" s="166" t="str"/>
      <x:c r="G18" s="167" t="str"/>
    </x:row>
    <x:row r="19">
      <x:c r="A19" s="168" t="str">
        <x:v>Rule</x:v>
      </x:c>
      <x:c r="B19" s="169" t="str">
        <x:v>Cleaning should support your training and meals, not compete with them.</x:v>
      </x:c>
      <x:c r="C19" s="169" t="str"/>
      <x:c r="D19" s="169" t="str"/>
      <x:c r="E19" s="169" t="str"/>
      <x:c r="F19" s="169" t="str"/>
      <x:c r="G19" s="170" t="str"/>
    </x:row>
    <x:row r="20">
      <x:c r="A20" s="171" t="str">
        <x:v>Rule</x:v>
      </x:c>
      <x:c r="B20" s="172" t="str">
        <x:v>Pair chores with existing anchors like dinner, workout finish, or Sunday prep.</x:v>
      </x:c>
      <x:c r="C20" s="172" t="str"/>
      <x:c r="D20" s="172" t="str"/>
      <x:c r="E20" s="172" t="str"/>
      <x:c r="F20" s="172" t="str"/>
      <x:c r="G20" s="173" t="str"/>
    </x:row>
  </x:sheetData>
  <x:mergeCells>
    <x:mergeCell ref="A1:G2"/>
  </x:mergeCells>
  <x:pageMargins left="0.7" right="0.7" top="0.75" bottom="0.75" header="0.3" footer="0.3"/>
</x:worksheet>
</file>